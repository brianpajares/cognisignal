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fd7cb1e5d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2ffc521316154a20"/>
    <x:sheet xmlns:r="http://schemas.openxmlformats.org/officeDocument/2006/relationships" name="Diccionario" sheetId="2" r:id="R1440c0b652e44932"/>
    <x:sheet xmlns:r="http://schemas.openxmlformats.org/officeDocument/2006/relationships" name="Parametros" sheetId="3" r:id="Rcf94e5a448c04fc9"/>
    <x:sheet xmlns:r="http://schemas.openxmlformats.org/officeDocument/2006/relationships" name="Tablas_Paises" sheetId="4" r:id="Rb5010cc2a3234f08"/>
    <x:sheet xmlns:r="http://schemas.openxmlformats.org/officeDocument/2006/relationships" name="Tablas_Evidencia" sheetId="5" r:id="R66894e170f974db0"/>
    <x:sheet xmlns:r="http://schemas.openxmlformats.org/officeDocument/2006/relationships" name="Motor" sheetId="6" r:id="R5e5e379c6e5e4832"/>
    <x:sheet xmlns:r="http://schemas.openxmlformats.org/officeDocument/2006/relationships" name="Casos_Prueba" sheetId="7" r:id="Rb8cc67669f0b44b2"/>
    <x:sheet xmlns:r="http://schemas.openxmlformats.org/officeDocument/2006/relationships" name="Fuentes" sheetId="8" r:id="Racb10dd64b2046bc"/>
    <x:sheet xmlns:r="http://schemas.openxmlformats.org/officeDocument/2006/relationships" name="Changelog" sheetId="9" r:id="R23eb32d486cf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4040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97492a1aa4413" /><Relationship Type="http://schemas.openxmlformats.org/officeDocument/2006/relationships/theme" Target="/xl/theme/theme1.xml" Id="Rf72e5f63c5a541a0" /><Relationship Type="http://schemas.microsoft.com/office/2022/11/relationships/FeaturePropertyBag" Target="/xl/featurePropertyBag/featurePropertyBag.xml" Id="Rf4b538641b7e4e1c" /><Relationship Type="http://schemas.openxmlformats.org/officeDocument/2006/relationships/sharedStrings" Target="/xl/sharedStrings.xml" Id="R46f1f43352804022" /><Relationship Type="http://schemas.openxmlformats.org/officeDocument/2006/relationships/worksheet" Target="/xl/worksheets/sheet1.xml" Id="R2ffc521316154a20" /><Relationship Type="http://schemas.openxmlformats.org/officeDocument/2006/relationships/worksheet" Target="/xl/worksheets/sheet2.xml" Id="R1440c0b652e44932" /><Relationship Type="http://schemas.openxmlformats.org/officeDocument/2006/relationships/worksheet" Target="/xl/worksheets/sheet3.xml" Id="Rcf94e5a448c04fc9" /><Relationship Type="http://schemas.openxmlformats.org/officeDocument/2006/relationships/worksheet" Target="/xl/worksheets/sheet4.xml" Id="Rb5010cc2a3234f08" /><Relationship Type="http://schemas.openxmlformats.org/officeDocument/2006/relationships/worksheet" Target="/xl/worksheets/sheet5.xml" Id="R66894e170f974db0" /><Relationship Type="http://schemas.openxmlformats.org/officeDocument/2006/relationships/worksheet" Target="/xl/worksheets/sheet6.xml" Id="R5e5e379c6e5e4832" /><Relationship Type="http://schemas.openxmlformats.org/officeDocument/2006/relationships/worksheet" Target="/xl/worksheets/sheet7.xml" Id="Rb8cc67669f0b44b2" /><Relationship Type="http://schemas.openxmlformats.org/officeDocument/2006/relationships/worksheet" Target="/xl/worksheets/sheet8.xml" Id="Racb10dd64b2046bc" /><Relationship Type="http://schemas.openxmlformats.org/officeDocument/2006/relationships/worksheet" Target="/xl/worksheets/sheet9.xml" Id="R23eb32d486cf4d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76" hidden="0" customWidth="1"/>
  </x:cols>
  <x:sheetData>
    <x:row r="1" ht="24" customHeight="1">
      <x:c r="A1" s="4" t="str">
        <x:v>CogniSignal · Base de datos y motor CS-LCM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Detalle</x:v>
      </x:c>
    </x:row>
    <x:row r="4">
      <x:c r="A4" s="20" t="str">
        <x:v>Propósito</x:v>
      </x:c>
      <x:c r="B4" s="24" t="str">
        <x:v>Base auditable del MVP para monitorizar cambio cognitivo longitudinal intraindividual. No diagnostica ni estima probabilidad de Alzheimer/MCI/demencia.</x:v>
      </x:c>
    </x:row>
    <x:row r="5">
      <x:c r="A5" s="20" t="str">
        <x:v>Versión</x:v>
      </x:c>
      <x:c r="B5" s="24" t="str">
        <x:v>2.0 · etapa 2 · 2026-10-13</x:v>
      </x:c>
    </x:row>
    <x:row r="6">
      <x:c r="A6" s="20" t="str">
        <x:v>Modelo principal</x:v>
      </x:c>
      <x:c r="B6" s="24" t="str">
        <x:v>CS-LCM v1.0: estandarización respecto al baseline personal + EWMA unilateral de deterioro.</x:v>
      </x:c>
    </x:row>
    <x:row r="7">
      <x:c r="A7" s="20" t="str">
        <x:v>Modelo de respaldo</x:v>
      </x:c>
      <x:c r="B7" s="24" t="str">
        <x:v>Reliable Change Index (RCI), solo cuando existan fiabilidad test-retest y DE validadas para las tareas propias.</x:v>
      </x:c>
    </x:row>
    <x:row r="8">
      <x:c r="A8" s="20" t="str">
        <x:v>Baseline</x:v>
      </x:c>
      <x:c r="B8" s="24" t="str">
        <x:v>6 sesiones válidas (decisión de producto PRELIMINAR; requiere validación prospectiva).</x:v>
      </x:c>
    </x:row>
    <x:row r="9">
      <x:c r="A9" s="20" t="str">
        <x:v>Actualización de fuentes</x:v>
      </x:c>
      <x:c r="B9" s="24" t="str">
        <x:v>Ejecutar ingest/ingest.py para PPP; revisar precios Stripe; actualizar fecha/estado por fila; documentar en Changelog.</x:v>
      </x:c>
    </x:row>
    <x:row r="10">
      <x:c r="A10" s="20" t="str">
        <x:v>Estados</x:v>
      </x:c>
      <x:c r="B10" s="24" t="str">
        <x:v>verificado = cifra confirmada en fuente; preliminar = decisión/valor aún no validado externamente.</x:v>
      </x:c>
    </x:row>
    <x:row r="11">
      <x:c r="A11" s="20" t="str">
        <x:v>Regla de uso</x:v>
      </x:c>
      <x:c r="B11" s="24" t="str">
        <x:v>País, idioma, educación, contexto y autorreporte no modifican el score v1. Solo se usan para elegibilidad, localización, anotación y monetización.</x:v>
      </x:c>
    </x:row>
    <x:row r="12">
      <x:c r="A12" s="20" t="str">
        <x:v>Tareas</x:v>
      </x:c>
      <x:c r="B12" s="24" t="str">
        <x:v>Usar estímulos originales implementados sobre jsPsych MIT. No copiar instrumentos clínicos/proprietarios.</x:v>
      </x:c>
    </x:row>
    <x:row r="13">
      <x:c r="A13" s="20" t="str">
        <x:v>Salida clínica</x:v>
      </x:c>
      <x:c r="B13" s="24" t="str">
        <x:v>clinical_probability = null. La categoría 'discuss_with_clinician' significa cambio persistente observado, no diagnóstico.</x:v>
      </x:c>
    </x:row>
    <x:row r="14">
      <x:c r="A14" s="20" t="str">
        <x:v>Mantenimiento</x:v>
      </x:c>
      <x:c r="B14" s="24" t="str">
        <x:v>Si cambia cualquier parámetro, incrementar versión, ejecutar engine_reference.py sobre todos los test_vectors y registrar el cambio.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12" hidden="0" customWidth="1"/>
    <x:col min="5" max="5" width="35" hidden="0" customWidth="1"/>
    <x:col min="6" max="6" width="52" hidden="0" customWidth="1"/>
    <x:col min="7" max="7" width="14" hidden="0" customWidth="1"/>
  </x:cols>
  <x:sheetData>
    <x:row r="1" ht="24" customHeight="1">
      <x:c r="A1" s="12" t="str">
        <x:v>campo</x:v>
      </x:c>
      <x:c r="B1" s="12" t="str">
        <x:v>ubicacion</x:v>
      </x:c>
      <x:c r="C1" s="12" t="str">
        <x:v>tipo</x:v>
      </x:c>
      <x:c r="D1" s="12" t="str">
        <x:v>unidad</x:v>
      </x:c>
      <x:c r="E1" s="12" t="str">
        <x:v>rango/valores</x:v>
      </x:c>
      <x:c r="F1" s="12" t="str">
        <x:v>descripcion</x:v>
      </x:c>
      <x:c r="G1" s="12" t="str">
        <x:v>estado</x:v>
      </x:c>
    </x:row>
    <x:row r="2">
      <x:c r="A2" s="24" t="str">
        <x:v>age_years</x:v>
      </x:c>
      <x:c r="B2" s="24" t="str">
        <x:v>inputs</x:v>
      </x:c>
      <x:c r="C2" s="24" t="str">
        <x:v>integer</x:v>
      </x:c>
      <x:c r="D2" s="24" t="str">
        <x:v>años</x:v>
      </x:c>
      <x:c r="E2" s="24" t="str">
        <x:v>55–90</x:v>
      </x:c>
      <x:c r="F2" s="24" t="str">
        <x:v>Elegibilidad MVP; no entra al score.</x:v>
      </x:c>
      <x:c r="G2" s="24" t="str">
        <x:v>verificado</x:v>
      </x:c>
    </x:row>
    <x:row r="3">
      <x:c r="A3" s="24" t="str">
        <x:v>country_code</x:v>
      </x:c>
      <x:c r="B3" s="24" t="str">
        <x:v>inputs</x:v>
      </x:c>
      <x:c r="C3" s="24" t="str">
        <x:v>string</x:v>
      </x:c>
      <x:c r="D3" s="24" t="str"/>
      <x:c r="E3" s="24" t="str">
        <x:v>US/GB/ES/BR/MX</x:v>
      </x:c>
      <x:c r="F3" s="24" t="str">
        <x:v>Localización y precio; no entra al score.</x:v>
      </x:c>
      <x:c r="G3" s="24" t="str">
        <x:v>verificado</x:v>
      </x:c>
    </x:row>
    <x:row r="4">
      <x:c r="A4" s="24" t="str">
        <x:v>language</x:v>
      </x:c>
      <x:c r="B4" s="24" t="str">
        <x:v>inputs</x:v>
      </x:c>
      <x:c r="C4" s="24" t="str">
        <x:v>string</x:v>
      </x:c>
      <x:c r="D4" s="24" t="str"/>
      <x:c r="E4" s="24" t="str">
        <x:v>en/es/pt</x:v>
      </x:c>
      <x:c r="F4" s="24" t="str">
        <x:v>Idioma de interfaz/informe; no entra al score.</x:v>
      </x:c>
      <x:c r="G4" s="24" t="str">
        <x:v>verificado</x:v>
      </x:c>
    </x:row>
    <x:row r="5">
      <x:c r="A5" s="24" t="str">
        <x:v>education_band</x:v>
      </x:c>
      <x:c r="B5" s="24" t="str">
        <x:v>inputs</x:v>
      </x:c>
      <x:c r="C5" s="24" t="str">
        <x:v>string</x:v>
      </x:c>
      <x:c r="D5" s="24" t="str"/>
      <x:c r="E5" s="24" t="str">
        <x:v>primary_or_less/secondary/tertiary</x:v>
      </x:c>
      <x:c r="F5" s="24" t="str">
        <x:v>Metadata; no entra al score v1.</x:v>
      </x:c>
      <x:c r="G5" s="24" t="str">
        <x:v>verificado</x:v>
      </x:c>
    </x:row>
    <x:row r="6">
      <x:c r="A6" s="24" t="str">
        <x:v>context_issue</x:v>
      </x:c>
      <x:c r="B6" s="24" t="str">
        <x:v>inputs</x:v>
      </x:c>
      <x:c r="C6" s="24" t="str">
        <x:v>string</x:v>
      </x:c>
      <x:c r="D6" s="24" t="str"/>
      <x:c r="E6" s="24" t="str">
        <x:v>none/poor_sleep/acute_illness/unusual_stress/medication_change/other</x:v>
      </x:c>
      <x:c r="F6" s="24" t="str">
        <x:v>Bandera contextual; no altera el score.</x:v>
      </x:c>
      <x:c r="G6" s="24" t="str">
        <x:v>verificado</x:v>
      </x:c>
    </x:row>
    <x:row r="7">
      <x:c r="A7" s="24" t="str">
        <x:v>self_report_change_6m</x:v>
      </x:c>
      <x:c r="B7" s="24" t="str">
        <x:v>inputs</x:v>
      </x:c>
      <x:c r="C7" s="24" t="str">
        <x:v>string</x:v>
      </x:c>
      <x:c r="D7" s="24" t="str"/>
      <x:c r="E7" s="24" t="str">
        <x:v>no/unsure/yes</x:v>
      </x:c>
      <x:c r="F7" s="24" t="str">
        <x:v>Autorreporte; bandera contextual; no altera el score.</x:v>
      </x:c>
      <x:c r="G7" s="24" t="str">
        <x:v>verificado</x:v>
      </x:c>
    </x:row>
    <x:row r="8">
      <x:c r="A8" s="24" t="str">
        <x:v>sessions[].memory_dprime</x:v>
      </x:c>
      <x:c r="B8" s="24" t="str">
        <x:v>inputs.session</x:v>
      </x:c>
      <x:c r="C8" s="24" t="str">
        <x:v>number</x:v>
      </x:c>
      <x:c r="D8" s="24" t="str">
        <x:v>d′</x:v>
      </x:c>
      <x:c r="E8" s="24" t="str">
        <x:v>-6 a 6</x:v>
      </x:c>
      <x:c r="F8" s="24" t="str">
        <x:v>Sensibilidad de memoria; menor = peor.</x:v>
      </x:c>
      <x:c r="G8" s="24" t="str">
        <x:v>verificado</x:v>
      </x:c>
    </x:row>
    <x:row r="9">
      <x:c r="A9" s="24" t="str">
        <x:v>sessions[].attention_rt_ms</x:v>
      </x:c>
      <x:c r="B9" s="24" t="str">
        <x:v>inputs.session</x:v>
      </x:c>
      <x:c r="C9" s="24" t="str">
        <x:v>number</x:v>
      </x:c>
      <x:c r="D9" s="24" t="str">
        <x:v>ms</x:v>
      </x:c>
      <x:c r="E9" s="24" t="str">
        <x:v>150 a 3000</x:v>
      </x:c>
      <x:c r="F9" s="24" t="str">
        <x:v>Mediana de RT correcto; mayor = peor.</x:v>
      </x:c>
      <x:c r="G9" s="24" t="str">
        <x:v>verificado</x:v>
      </x:c>
    </x:row>
    <x:row r="10">
      <x:c r="A10" s="24" t="str">
        <x:v>sessions[].executive_ies_ms</x:v>
      </x:c>
      <x:c r="B10" s="24" t="str">
        <x:v>inputs.session</x:v>
      </x:c>
      <x:c r="C10" s="24" t="str">
        <x:v>number</x:v>
      </x:c>
      <x:c r="D10" s="24" t="str">
        <x:v>ms</x:v>
      </x:c>
      <x:c r="E10" s="24" t="str">
        <x:v>150 a 6000</x:v>
      </x:c>
      <x:c r="F10" s="24" t="str">
        <x:v>IES = RT correcto medio / precisión; mayor = peor.</x:v>
      </x:c>
      <x:c r="G10" s="24" t="str">
        <x:v>verificado</x:v>
      </x:c>
    </x:row>
    <x:row r="11">
      <x:c r="A11" s="24" t="str">
        <x:v>sessions[].quality_pass</x:v>
      </x:c>
      <x:c r="B11" s="24" t="str">
        <x:v>inputs.session</x:v>
      </x:c>
      <x:c r="C11" s="24" t="str">
        <x:v>boolean</x:v>
      </x:c>
      <x:c r="D11" s="24" t="str"/>
      <x:c r="E11" s="24" t="str">
        <x:v>true/false</x:v>
      </x:c>
      <x:c r="F11" s="24" t="str">
        <x:v>Solo sesiones true entran a baseline/monitorización.</x:v>
      </x:c>
      <x:c r="G11" s="24" t="str">
        <x:v>verificado</x:v>
      </x:c>
    </x:row>
    <x:row r="12">
      <x:c r="A12" s="24" t="str">
        <x:v>signal_index_0_100</x:v>
      </x:c>
      <x:c r="B12" s="24" t="str">
        <x:v>output</x:v>
      </x:c>
      <x:c r="C12" s="24" t="str">
        <x:v>number</x:v>
      </x:c>
      <x:c r="D12" s="24" t="str">
        <x:v>puntos</x:v>
      </x:c>
      <x:c r="E12" s="24" t="str">
        <x:v>0–100</x:v>
      </x:c>
      <x:c r="F12" s="24" t="str">
        <x:v>Índice de intensidad de señal longitudinal, acotado; NO probabilidad.</x:v>
      </x:c>
      <x:c r="G12" s="24" t="str">
        <x:v>verificado</x:v>
      </x:c>
    </x:row>
    <x:row r="13">
      <x:c r="A13" s="24" t="str">
        <x:v>category</x:v>
      </x:c>
      <x:c r="B13" s="24" t="str">
        <x:v>output</x:v>
      </x:c>
      <x:c r="C13" s="24" t="str">
        <x:v>string</x:v>
      </x:c>
      <x:c r="D13" s="24" t="str"/>
      <x:c r="E13" s="24" t="str">
        <x:v>stable/watch/discuss_with_clinician</x:v>
      </x:c>
      <x:c r="F13" s="24" t="str">
        <x:v>Categoría derivada del EWMA unilateral.</x:v>
      </x:c>
      <x:c r="G13" s="24" t="str">
        <x:v>verificado</x:v>
      </x:c>
    </x:row>
    <x:row r="14">
      <x:c r="A14" s="24" t="str">
        <x:v>ewma</x:v>
      </x:c>
      <x:c r="B14" s="24" t="str">
        <x:v>output</x:v>
      </x:c>
      <x:c r="C14" s="24" t="str">
        <x:v>number</x:v>
      </x:c>
      <x:c r="D14" s="24" t="str">
        <x:v>σ de referencia</x:v>
      </x:c>
      <x:c r="E14" s="24" t="str"/>
      <x:c r="F14" s="24" t="str">
        <x:v>EWMA del compuesto de deterioro estandarizado.</x:v>
      </x:c>
      <x:c r="G14" s="24" t="str">
        <x:v>verificado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5" hidden="0" customWidth="1"/>
    <x:col min="4" max="4" width="62" hidden="0" customWidth="1"/>
    <x:col min="5" max="5" width="14" hidden="0" customWidth="1"/>
    <x:col min="6" max="6" width="14" hidden="0" customWidth="1"/>
    <x:col min="7" max="7" width="60" hidden="0" customWidth="1"/>
  </x:cols>
  <x:sheetData>
    <x:row r="1" ht="24" customHeight="1">
      <x:c r="A1" s="12" t="str">
        <x:v>parametro</x:v>
      </x:c>
      <x:c r="B1" s="12" t="str">
        <x:v>valor</x:v>
      </x:c>
      <x:c r="C1" s="12" t="str">
        <x:v>unidad</x:v>
      </x:c>
      <x:c r="D1" s="12" t="str">
        <x:v>fuente_url</x:v>
      </x:c>
      <x:c r="E1" s="12" t="str">
        <x:v>fecha</x:v>
      </x:c>
      <x:c r="F1" s="12" t="str">
        <x:v>estado</x:v>
      </x:c>
      <x:c r="G1" s="12" t="str">
        <x:v>nota</x:v>
      </x:c>
    </x:row>
    <x:row r="2">
      <x:c r="A2" s="24" t="str">
        <x:v>ewma_lambda</x:v>
      </x:c>
      <x:c r="B2" s="24" t="n">
        <x:v>0.2</x:v>
      </x:c>
      <x:c r="C2" s="24" t="str">
        <x:v>adimensional</x:v>
      </x:c>
      <x:c r="D2" s="24" t="str">
        <x:v>https://www.itl.nist.gov/div898/handbook/mpc/section2/mpc2211.htm</x:v>
      </x:c>
      <x:c r="E2" s="24" t="str">
        <x:v>2026-10-13</x:v>
      </x:c>
      <x:c r="F2" s="24" t="str">
        <x:v>verificado</x:v>
      </x:c>
      <x:c r="G2" s="24" t="str">
        <x:v>NIST indica λ habitual 0,2–0,3; se fija 0,2.</x:v>
      </x:c>
    </x:row>
    <x:row r="3">
      <x:c r="A3" s="24" t="str">
        <x:v>ewma_k_warn</x:v>
      </x:c>
      <x:c r="B3" s="24" t="n">
        <x:v>2</x:v>
      </x:c>
      <x:c r="C3" s="24" t="str">
        <x:v>sigma</x:v>
      </x:c>
      <x:c r="D3" s="24" t="str">
        <x:v>https://www.itl.nist.gov/div898/handbook/mpc/section2/mpc2211.htm</x:v>
      </x:c>
      <x:c r="E3" s="24" t="str">
        <x:v>2026-10-13</x:v>
      </x:c>
      <x:c r="F3" s="24" t="str">
        <x:v>verificado</x:v>
      </x:c>
      <x:c r="G3" s="24" t="str">
        <x:v>Límite de aviso unilateral = 2·σ_EWMA.</x:v>
      </x:c>
    </x:row>
    <x:row r="4">
      <x:c r="A4" s="24" t="str">
        <x:v>ewma_k_action</x:v>
      </x:c>
      <x:c r="B4" s="24" t="n">
        <x:v>3</x:v>
      </x:c>
      <x:c r="C4" s="24" t="str">
        <x:v>sigma</x:v>
      </x:c>
      <x:c r="D4" s="24" t="str">
        <x:v>https://www.itl.nist.gov/div898/handbook/mpc/section2/mpc2211.htm</x:v>
      </x:c>
      <x:c r="E4" s="24" t="str">
        <x:v>2026-10-13</x:v>
      </x:c>
      <x:c r="F4" s="24" t="str">
        <x:v>verificado</x:v>
      </x:c>
      <x:c r="G4" s="24" t="str">
        <x:v>Límite de acción unilateral = 3·σ_EWMA.</x:v>
      </x:c>
    </x:row>
    <x:row r="5">
      <x:c r="A5" s="24" t="str">
        <x:v>baseline_sessions</x:v>
      </x:c>
      <x:c r="B5" s="24" t="n">
        <x:v>6</x:v>
      </x:c>
      <x:c r="C5" s="24" t="str">
        <x:v>sesiones</x:v>
      </x:c>
      <x:c r="D5" s="24" t="str"/>
      <x:c r="E5" s="24" t="str">
        <x:v>2026-10-13</x:v>
      </x:c>
      <x:c r="F5" s="24" t="str">
        <x:v>preliminar</x:v>
      </x:c>
      <x:c r="G5" s="24" t="str">
        <x:v>Decisión de producto; validar prospectivamente práctica, fatiga y fiabilidad.</x:v>
      </x:c>
    </x:row>
    <x:row r="6">
      <x:c r="A6" s="24" t="str">
        <x:v>min_valid_domains</x:v>
      </x:c>
      <x:c r="B6" s="24" t="n">
        <x:v>2</x:v>
      </x:c>
      <x:c r="C6" s="24" t="str">
        <x:v>dominios</x:v>
      </x:c>
      <x:c r="D6" s="24" t="str"/>
      <x:c r="E6" s="24" t="str">
        <x:v>2026-10-13</x:v>
      </x:c>
      <x:c r="F6" s="24" t="str">
        <x:v>preliminar</x:v>
      </x:c>
      <x:c r="G6" s="24" t="str">
        <x:v>Guardrail de producto; al menos 2 dominios con variabilidad de baseline.</x:v>
      </x:c>
    </x:row>
    <x:row r="7">
      <x:c r="A7" s="24" t="str">
        <x:v>sd_epsilon</x:v>
      </x:c>
      <x:c r="B7" s="24" t="n">
        <x:v>1e-9</x:v>
      </x:c>
      <x:c r="C7" s="24" t="str">
        <x:v>adimensional</x:v>
      </x:c>
      <x:c r="D7" s="24" t="str">
        <x:v>implementation://engine_reference.py</x:v>
      </x:c>
      <x:c r="E7" s="24" t="str">
        <x:v>2026-10-13</x:v>
      </x:c>
      <x:c r="F7" s="24" t="str">
        <x:v>verificado</x:v>
      </x:c>
      <x:c r="G7" s="24" t="str">
        <x:v>Guardrail numérico; evita división por cero.</x:v>
      </x:c>
    </x:row>
    <x:row r="8">
      <x:c r="A8" s="24" t="str">
        <x:v>dprime_cell_add</x:v>
      </x:c>
      <x:c r="B8" s="24" t="n">
        <x:v>0.5</x:v>
      </x:c>
      <x:c r="C8" s="24" t="str">
        <x:v>conteos</x:v>
      </x:c>
      <x:c r="D8" s="24" t="str">
        <x:v>https://pmc.ncbi.nlm.nih.gov/articles/PMC3434682/</x:v>
      </x:c>
      <x:c r="E8" s="24" t="str">
        <x:v>2026-10-13</x:v>
      </x:c>
      <x:c r="F8" s="24" t="str">
        <x:v>verificado</x:v>
      </x:c>
      <x:c r="G8" s="24" t="str">
        <x:v>Corrección loglineal para tasas extremas.</x:v>
      </x:c>
    </x:row>
    <x:row r="9">
      <x:c r="A9" s="24" t="str">
        <x:v>dprime_total_add</x:v>
      </x:c>
      <x:c r="B9" s="24" t="n">
        <x:v>1</x:v>
      </x:c>
      <x:c r="C9" s="24" t="str">
        <x:v>conteos</x:v>
      </x:c>
      <x:c r="D9" s="24" t="str">
        <x:v>https://pmc.ncbi.nlm.nih.gov/articles/PMC3434682/</x:v>
      </x:c>
      <x:c r="E9" s="24" t="str">
        <x:v>2026-10-13</x:v>
      </x:c>
      <x:c r="F9" s="24" t="str">
        <x:v>verificado</x:v>
      </x:c>
      <x:c r="G9" s="24" t="str">
        <x:v>Corrección loglineal para denominadores.</x:v>
      </x:c>
    </x:row>
    <x:row r="10">
      <x:c r="A10" s="24" t="str">
        <x:v>rci_z_95_two_sided</x:v>
      </x:c>
      <x:c r="B10" s="24" t="n">
        <x:v>1.96</x:v>
      </x:c>
      <x:c r="C10" s="24" t="str">
        <x:v>z</x:v>
      </x:c>
      <x:c r="D10" s="24" t="str">
        <x:v>https://pmc.ncbi.nlm.nih.gov/articles/PMC8581253/</x:v>
      </x:c>
      <x:c r="E10" s="24" t="str">
        <x:v>2026-10-13</x:v>
      </x:c>
      <x:c r="F10" s="24" t="str">
        <x:v>verificado</x:v>
      </x:c>
      <x:c r="G10" s="24" t="str">
        <x:v>Solo respaldo; exige SD y fiabilidad propias validadas.</x:v>
      </x:c>
    </x:row>
  </x:sheetData>
  <x:conditionalFormatting sqref="F2:F10">
    <x:cfRule type="expression" dxfId="0" priority="1">
      <x:formula>F2="verificado"</x:formula>
    </x:cfRule>
    <x:cfRule type="expression" dxfId="1" priority="2">
      <x:formula>F2="preliminar"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16" hidden="0" customWidth="1"/>
    <x:col min="5" max="5" width="55" hidden="0" customWidth="1"/>
    <x:col min="6" max="6" width="14" hidden="0" customWidth="1"/>
    <x:col min="7" max="7" width="16" hidden="0" customWidth="1"/>
    <x:col min="8" max="8" width="18" hidden="0" customWidth="1"/>
    <x:col min="9" max="9" width="45" hidden="0" customWidth="1"/>
    <x:col min="10" max="10" width="14" hidden="0" customWidth="1"/>
    <x:col min="11" max="11" width="14" hidden="0" customWidth="1"/>
  </x:cols>
  <x:sheetData>
    <x:row r="1" ht="24" customHeight="1">
      <x:c r="A1" s="12" t="str">
        <x:v>country_code</x:v>
      </x:c>
      <x:c r="B1" s="12" t="str">
        <x:v>pais</x:v>
      </x:c>
      <x:c r="C1" s="12" t="str">
        <x:v>moneda</x:v>
      </x:c>
      <x:c r="D1" s="12" t="str">
        <x:v>ppp_factor_2025</x:v>
      </x:c>
      <x:c r="E1" s="12" t="str">
        <x:v>ppp_source</x:v>
      </x:c>
      <x:c r="F1" s="12" t="str">
        <x:v>ppp_license</x:v>
      </x:c>
      <x:c r="G1" s="12" t="str">
        <x:v>stripe_fee_pct</x:v>
      </x:c>
      <x:c r="H1" s="12" t="str">
        <x:v>stripe_fixed_fee</x:v>
      </x:c>
      <x:c r="I1" s="12" t="str">
        <x:v>stripe_source</x:v>
      </x:c>
      <x:c r="J1" s="12" t="str">
        <x:v>fecha</x:v>
      </x:c>
      <x:c r="K1" s="12" t="str">
        <x:v>estado</x:v>
      </x:c>
    </x:row>
    <x:row r="2">
      <x:c r="A2" s="24" t="str">
        <x:v>US</x:v>
      </x:c>
      <x:c r="B2" s="24" t="str">
        <x:v>Estados Unidos</x:v>
      </x:c>
      <x:c r="C2" s="24" t="str">
        <x:v>USD</x:v>
      </x:c>
      <x:c r="D2" s="28" t="n">
        <x:v>1</x:v>
      </x:c>
      <x:c r="E2" s="24" t="str">
        <x:v>https://data.worldbank.org/indicator/PA.NUS.PPP</x:v>
      </x:c>
      <x:c r="F2" s="24" t="str">
        <x:v>CC BY-4.0</x:v>
      </x:c>
      <x:c r="G2" s="26" t="n">
        <x:v>0.029</x:v>
      </x:c>
      <x:c r="H2" s="24" t="n">
        <x:v>0.3</x:v>
      </x:c>
      <x:c r="I2" s="24" t="str">
        <x:v>https://stripe.com/pricing</x:v>
      </x:c>
      <x:c r="J2" s="24" t="str">
        <x:v>2026-10-13</x:v>
      </x:c>
      <x:c r="K2" s="24" t="str">
        <x:v>verificado</x:v>
      </x:c>
    </x:row>
    <x:row r="3">
      <x:c r="A3" s="24" t="str">
        <x:v>GB</x:v>
      </x:c>
      <x:c r="B3" s="24" t="str">
        <x:v>Reino Unido</x:v>
      </x:c>
      <x:c r="C3" s="24" t="str">
        <x:v>GBP</x:v>
      </x:c>
      <x:c r="D3" s="28" t="n">
        <x:v>0.68</x:v>
      </x:c>
      <x:c r="E3" s="24" t="str">
        <x:v>https://data.worldbank.org/indicator/PA.NUS.PPP</x:v>
      </x:c>
      <x:c r="F3" s="24" t="str">
        <x:v>CC BY-4.0</x:v>
      </x:c>
      <x:c r="G3" s="26" t="n">
        <x:v>0.015</x:v>
      </x:c>
      <x:c r="H3" s="24" t="n">
        <x:v>0.2</x:v>
      </x:c>
      <x:c r="I3" s="24" t="str">
        <x:v>https://stripe.com/gb/pricing</x:v>
      </x:c>
      <x:c r="J3" s="24" t="str">
        <x:v>2026-10-13</x:v>
      </x:c>
      <x:c r="K3" s="24" t="str">
        <x:v>verificado</x:v>
      </x:c>
    </x:row>
    <x:row r="4">
      <x:c r="A4" s="24" t="str">
        <x:v>ES</x:v>
      </x:c>
      <x:c r="B4" s="24" t="str">
        <x:v>España</x:v>
      </x:c>
      <x:c r="C4" s="24" t="str">
        <x:v>EUR</x:v>
      </x:c>
      <x:c r="D4" s="28" t="n">
        <x:v>0.57</x:v>
      </x:c>
      <x:c r="E4" s="24" t="str">
        <x:v>https://data.worldbank.org/indicator/PA.NUS.PPP</x:v>
      </x:c>
      <x:c r="F4" s="24" t="str">
        <x:v>CC BY-4.0</x:v>
      </x:c>
      <x:c r="G4" s="26" t="n">
        <x:v>0.015</x:v>
      </x:c>
      <x:c r="H4" s="24" t="n">
        <x:v>0.25</x:v>
      </x:c>
      <x:c r="I4" s="24" t="str">
        <x:v>https://stripe.com/es/pricing</x:v>
      </x:c>
      <x:c r="J4" s="24" t="str">
        <x:v>2026-10-13</x:v>
      </x:c>
      <x:c r="K4" s="24" t="str">
        <x:v>verificado</x:v>
      </x:c>
    </x:row>
    <x:row r="5">
      <x:c r="A5" s="24" t="str">
        <x:v>BR</x:v>
      </x:c>
      <x:c r="B5" s="24" t="str">
        <x:v>Brasil</x:v>
      </x:c>
      <x:c r="C5" s="24" t="str">
        <x:v>BRL</x:v>
      </x:c>
      <x:c r="D5" s="28" t="n">
        <x:v>2.55</x:v>
      </x:c>
      <x:c r="E5" s="24" t="str">
        <x:v>https://data.worldbank.org/indicator/PA.NUS.PPP</x:v>
      </x:c>
      <x:c r="F5" s="24" t="str">
        <x:v>CC BY-4.0</x:v>
      </x:c>
      <x:c r="G5" s="26" t="n">
        <x:v>0.0399</x:v>
      </x:c>
      <x:c r="H5" s="24" t="n">
        <x:v>0.39</x:v>
      </x:c>
      <x:c r="I5" s="24" t="str">
        <x:v>https://stripe.com/br/pricing</x:v>
      </x:c>
      <x:c r="J5" s="24" t="str">
        <x:v>2026-10-13</x:v>
      </x:c>
      <x:c r="K5" s="24" t="str">
        <x:v>verificado</x:v>
      </x:c>
    </x:row>
    <x:row r="6">
      <x:c r="A6" s="24" t="str">
        <x:v>MX</x:v>
      </x:c>
      <x:c r="B6" s="24" t="str">
        <x:v>México</x:v>
      </x:c>
      <x:c r="C6" s="24" t="str">
        <x:v>MXN</x:v>
      </x:c>
      <x:c r="D6" s="28" t="n">
        <x:v>10.33</x:v>
      </x:c>
      <x:c r="E6" s="24" t="str">
        <x:v>https://data.worldbank.org/indicator/PA.NUS.PPP</x:v>
      </x:c>
      <x:c r="F6" s="24" t="str">
        <x:v>CC BY-4.0</x:v>
      </x:c>
      <x:c r="G6" s="26" t="n">
        <x:v>0.036</x:v>
      </x:c>
      <x:c r="H6" s="24" t="n">
        <x:v>3</x:v>
      </x:c>
      <x:c r="I6" s="24" t="str">
        <x:v>https://stripe.com/mx/pricing</x:v>
      </x:c>
      <x:c r="J6" s="24" t="str">
        <x:v>2026-10-13</x:v>
      </x:c>
      <x:c r="K6" s="24" t="str">
        <x:v>verificado</x:v>
      </x:c>
    </x:row>
  </x:sheetData>
  <x:conditionalFormatting sqref="K2:K6">
    <x:cfRule type="expression" dxfId="2" priority="1">
      <x:formula>K2="verificado"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15" hidden="0" customWidth="1"/>
    <x:col min="5" max="5" width="12" hidden="0" customWidth="1"/>
    <x:col min="6" max="6" width="58" hidden="0" customWidth="1"/>
    <x:col min="7" max="7" width="48" hidden="0" customWidth="1"/>
    <x:col min="8" max="8" width="14" hidden="0" customWidth="1"/>
    <x:col min="9" max="9" width="14" hidden="0" customWidth="1"/>
    <x:col min="10" max="10" width="34" hidden="0" customWidth="1"/>
  </x:cols>
  <x:sheetData>
    <x:row r="1" ht="24" customHeight="1">
      <x:c r="A1" s="12" t="str">
        <x:v>id</x:v>
      </x:c>
      <x:c r="B1" s="12" t="str">
        <x:v>tema</x:v>
      </x:c>
      <x:c r="C1" s="12" t="str">
        <x:v>metrica</x:v>
      </x:c>
      <x:c r="D1" s="12" t="str">
        <x:v>valor</x:v>
      </x:c>
      <x:c r="E1" s="12" t="str">
        <x:v>unidad</x:v>
      </x:c>
      <x:c r="F1" s="12" t="str">
        <x:v>fuente_url</x:v>
      </x:c>
      <x:c r="G1" s="12" t="str">
        <x:v>licencia_uso_producto</x:v>
      </x:c>
      <x:c r="H1" s="12" t="str">
        <x:v>fecha</x:v>
      </x:c>
      <x:c r="I1" s="12" t="str">
        <x:v>estado</x:v>
      </x:c>
      <x:c r="J1" s="12" t="str">
        <x:v>uso</x:v>
      </x:c>
    </x:row>
    <x:row r="2">
      <x:c r="A2" s="24" t="str">
        <x:v>E01</x:v>
      </x:c>
      <x:c r="B2" s="24" t="str">
        <x:v>EWMA</x:v>
      </x:c>
      <x:c r="C2" s="24" t="str">
        <x:v>lambda habitual</x:v>
      </x:c>
      <x:c r="D2" s="24" t="str">
        <x:v>0.2–0.3</x:v>
      </x:c>
      <x:c r="E2" s="24" t="str"/>
      <x:c r="F2" s="24" t="str">
        <x:v>https://www.itl.nist.gov/div898/handbook/mpc/section2/mpc2211.htm</x:v>
      </x:c>
      <x:c r="G2" s="24" t="str">
        <x:v>Hecho metodológico; NIST información pública</x:v>
      </x:c>
      <x:c r="H2" s="24" t="str">
        <x:v>2026-10-13</x:v>
      </x:c>
      <x:c r="I2" s="24" t="str">
        <x:v>verificado</x:v>
      </x:c>
      <x:c r="J2" s="24" t="str">
        <x:v>Ancla λ=0,2</x:v>
      </x:c>
    </x:row>
    <x:row r="3">
      <x:c r="A3" s="24" t="str">
        <x:v>E02</x:v>
      </x:c>
      <x:c r="B3" s="24" t="str">
        <x:v>EWMA</x:v>
      </x:c>
      <x:c r="C3" s="24" t="str">
        <x:v>k habitual</x:v>
      </x:c>
      <x:c r="D3" s="24" t="str">
        <x:v>2 o 3</x:v>
      </x:c>
      <x:c r="E3" s="24" t="str">
        <x:v>sigma</x:v>
      </x:c>
      <x:c r="F3" s="24" t="str">
        <x:v>https://www.itl.nist.gov/div898/handbook/mpc/section2/mpc2211.htm</x:v>
      </x:c>
      <x:c r="G3" s="24" t="str">
        <x:v>Hecho metodológico; NIST información pública</x:v>
      </x:c>
      <x:c r="H3" s="24" t="str">
        <x:v>2026-10-13</x:v>
      </x:c>
      <x:c r="I3" s="24" t="str">
        <x:v>verificado</x:v>
      </x:c>
      <x:c r="J3" s="24" t="str">
        <x:v>Límites warning/action</x:v>
      </x:c>
    </x:row>
    <x:row r="4">
      <x:c r="A4" s="24" t="str">
        <x:v>E03</x:v>
      </x:c>
      <x:c r="B4" s="24" t="str">
        <x:v>RCI</x:v>
      </x:c>
      <x:c r="C4" s="24" t="str">
        <x:v>umbral 95%</x:v>
      </x:c>
      <x:c r="D4" s="24" t="str">
        <x:v>1.96</x:v>
      </x:c>
      <x:c r="E4" s="24" t="str">
        <x:v>z</x:v>
      </x:c>
      <x:c r="F4" s="24" t="str">
        <x:v>https://pmc.ncbi.nlm.nih.gov/articles/PMC8581253/</x:v>
      </x:c>
      <x:c r="G4" s="24" t="str">
        <x:v>Referencia metodológica; no se redistribuye contenido</x:v>
      </x:c>
      <x:c r="H4" s="24" t="str">
        <x:v>2026-10-13</x:v>
      </x:c>
      <x:c r="I4" s="24" t="str">
        <x:v>verificado</x:v>
      </x:c>
      <x:c r="J4" s="24" t="str">
        <x:v>Modelo respaldo</x:v>
      </x:c>
    </x:row>
    <x:row r="5">
      <x:c r="A5" s="24" t="str">
        <x:v>E04</x:v>
      </x:c>
      <x:c r="B5" s="24" t="str">
        <x:v>d-prime</x:v>
      </x:c>
      <x:c r="C5" s="24" t="str">
        <x:v>corrección loglineal</x:v>
      </x:c>
      <x:c r="D5" s="24" t="str">
        <x:v>0.5/1.0</x:v>
      </x:c>
      <x:c r="E5" s="24" t="str">
        <x:v>conteos</x:v>
      </x:c>
      <x:c r="F5" s="24" t="str">
        <x:v>https://pmc.ncbi.nlm.nih.gov/articles/PMC3434682/</x:v>
      </x:c>
      <x:c r="G5" s="24" t="str">
        <x:v>Referencia metodológica; no se redistribuye contenido</x:v>
      </x:c>
      <x:c r="H5" s="24" t="str">
        <x:v>2026-10-13</x:v>
      </x:c>
      <x:c r="I5" s="24" t="str">
        <x:v>verificado</x:v>
      </x:c>
      <x:c r="J5" s="24" t="str">
        <x:v>Cálculo tarea memoria</x:v>
      </x:c>
    </x:row>
    <x:row r="6">
      <x:c r="A6" s="24" t="str">
        <x:v>E05</x:v>
      </x:c>
      <x:c r="B6" s="24" t="str">
        <x:v>IES</x:v>
      </x:c>
      <x:c r="C6" s="24" t="str">
        <x:v>definición</x:v>
      </x:c>
      <x:c r="D6" s="24" t="str">
        <x:v>RT/accuracy</x:v>
      </x:c>
      <x:c r="E6" s="24" t="str">
        <x:v>ms</x:v>
      </x:c>
      <x:c r="F6" s="24" t="str">
        <x:v>https://pmc.ncbi.nlm.nih.gov/articles/PMC11493209/</x:v>
      </x:c>
      <x:c r="G6" s="24" t="str">
        <x:v>Referencia metodológica; no se redistribuye contenido</x:v>
      </x:c>
      <x:c r="H6" s="24" t="str">
        <x:v>2026-10-13</x:v>
      </x:c>
      <x:c r="I6" s="24" t="str">
        <x:v>verificado</x:v>
      </x:c>
      <x:c r="J6" s="24" t="str">
        <x:v>Cálculo tarea ejecutiva</x:v>
      </x:c>
    </x:row>
    <x:row r="7">
      <x:c r="A7" s="24" t="str">
        <x:v>E06</x:v>
      </x:c>
      <x:c r="B7" s="24" t="str">
        <x:v>Brain on Track</x:v>
      </x:c>
      <x:c r="C7" s="24" t="str">
        <x:v>AUC reportada</x:v>
      </x:c>
      <x:c r="D7" s="24" t="str">
        <x:v>0.75</x:v>
      </x:c>
      <x:c r="E7" s="24" t="str">
        <x:v>AUC</x:v>
      </x:c>
      <x:c r="F7" s="24" t="str">
        <x:v>https://pmc.ncbi.nlm.nih.gov/articles/PMC4705487/</x:v>
      </x:c>
      <x:c r="G7" s="24" t="str">
        <x:v>Benchmark bibliográfico; no se usa instrumento/datos</x:v>
      </x:c>
      <x:c r="H7" s="24" t="str">
        <x:v>2026-10-13</x:v>
      </x:c>
      <x:c r="I7" s="24" t="str">
        <x:v>verificado</x:v>
      </x:c>
      <x:c r="J7" s="24" t="str">
        <x:v>Benchmark de factibilidad web</x:v>
      </x:c>
    </x:row>
    <x:row r="8">
      <x:c r="A8" s="24" t="str">
        <x:v>E07</x:v>
      </x:c>
      <x:c r="B8" s="24" t="str">
        <x:v>Brain on Track</x:v>
      </x:c>
      <x:c r="C8" s="24" t="str">
        <x:v>consistencia interna</x:v>
      </x:c>
      <x:c r="D8" s="24" t="str">
        <x:v>0.90</x:v>
      </x:c>
      <x:c r="E8" s="24" t="str">
        <x:v>alpha</x:v>
      </x:c>
      <x:c r="F8" s="24" t="str">
        <x:v>https://pmc.ncbi.nlm.nih.gov/articles/PMC4705487/</x:v>
      </x:c>
      <x:c r="G8" s="24" t="str">
        <x:v>Benchmark bibliográfico</x:v>
      </x:c>
      <x:c r="H8" s="24" t="str">
        <x:v>2026-10-13</x:v>
      </x:c>
      <x:c r="I8" s="24" t="str">
        <x:v>verificado</x:v>
      </x:c>
      <x:c r="J8" s="24" t="str">
        <x:v>Benchmark</x:v>
      </x:c>
    </x:row>
    <x:row r="9">
      <x:c r="A9" s="24" t="str">
        <x:v>E08</x:v>
      </x:c>
      <x:c r="B9" s="24" t="str">
        <x:v>Brain on Track</x:v>
      </x:c>
      <x:c r="C9" s="24" t="str">
        <x:v>subtests con ICC &gt; .70</x:v>
      </x:c>
      <x:c r="D9" s="24" t="str">
        <x:v>9/10</x:v>
      </x:c>
      <x:c r="E9" s="24" t="str">
        <x:v>subtests</x:v>
      </x:c>
      <x:c r="F9" s="24" t="str">
        <x:v>https://pmc.ncbi.nlm.nih.gov/articles/PMC4705487/</x:v>
      </x:c>
      <x:c r="G9" s="24" t="str">
        <x:v>Benchmark bibliográfico</x:v>
      </x:c>
      <x:c r="H9" s="24" t="str">
        <x:v>2026-10-13</x:v>
      </x:c>
      <x:c r="I9" s="24" t="str">
        <x:v>verificado</x:v>
      </x:c>
      <x:c r="J9" s="24" t="str">
        <x:v>Benchmark</x:v>
      </x:c>
    </x:row>
    <x:row r="10">
      <x:c r="A10" s="24" t="str">
        <x:v>E09</x:v>
      </x:c>
      <x:c r="B10" s="24" t="str">
        <x:v>OCTAL</x:v>
      </x:c>
      <x:c r="C10" s="24" t="str">
        <x:v>AUC 5 min</x:v>
      </x:c>
      <x:c r="D10" s="24" t="str">
        <x:v>0.92</x:v>
      </x:c>
      <x:c r="E10" s="24" t="str">
        <x:v>AUC</x:v>
      </x:c>
      <x:c r="F10" s="24" t="str">
        <x:v>https://pmc.ncbi.nlm.nih.gov/articles/PMC12909784/</x:v>
      </x:c>
      <x:c r="G10" s="24" t="str">
        <x:v>Benchmark; plataforma requiere licencia comercial separada</x:v>
      </x:c>
      <x:c r="H10" s="24" t="str">
        <x:v>2026-10-13</x:v>
      </x:c>
      <x:c r="I10" s="24" t="str">
        <x:v>verificado</x:v>
      </x:c>
      <x:c r="J10" s="24" t="str">
        <x:v>Candidato descartado como dependencia</x:v>
      </x:c>
    </x:row>
    <x:row r="11">
      <x:c r="A11" s="24" t="str">
        <x:v>E10</x:v>
      </x:c>
      <x:c r="B11" s="24" t="str">
        <x:v>OCTAL</x:v>
      </x:c>
      <x:c r="C11" s="24" t="str">
        <x:v>ICC</x:v>
      </x:c>
      <x:c r="D11" s="24" t="str">
        <x:v>≥0.79</x:v>
      </x:c>
      <x:c r="E11" s="24" t="str">
        <x:v>ICC</x:v>
      </x:c>
      <x:c r="F11" s="24" t="str">
        <x:v>https://pmc.ncbi.nlm.nih.gov/articles/PMC12909784/</x:v>
      </x:c>
      <x:c r="G11" s="24" t="str">
        <x:v>Benchmark; no se incorpora plataforma</x:v>
      </x:c>
      <x:c r="H11" s="24" t="str">
        <x:v>2026-10-13</x:v>
      </x:c>
      <x:c r="I11" s="24" t="str">
        <x:v>verificado</x:v>
      </x:c>
      <x:c r="J11" s="24" t="str">
        <x:v>Benchmark</x:v>
      </x:c>
    </x:row>
  </x:sheetData>
  <x:conditionalFormatting sqref="I2:I11">
    <x:cfRule type="expression" dxfId="3" priority="1">
      <x:formula>I2="verificado"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7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4" max="14" width="25" hidden="0" customWidth="1"/>
    <x:col min="15" max="15" width="20" hidden="0" customWidth="1"/>
    <x:col min="16" max="16" width="20" hidden="0" customWidth="1"/>
  </x:cols>
  <x:sheetData>
    <x:row r="1" ht="24" customHeight="1">
      <x:c r="A1" s="4" t="str">
        <x:v>Motor vivo · caso de ejemplo reproducible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32" t="str">
        <x:v>Baseline = primeras 6 sesiones válidas. G:I = z de deterioro; J = compuesto; K = compuesto / DE baseline; L = EWMA.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N2" s="12" t="str">
        <x:v>metric</x:v>
      </x:c>
      <x:c r="O2" s="12" t="str">
        <x:v>formula_excel</x:v>
      </x:c>
      <x:c r="P2" s="12" t="str">
        <x:v>expected_engine</x:v>
      </x:c>
    </x:row>
    <x:row r="3">
      <x:c r="N3" s="20" t="str">
        <x:v>memory_mean</x:v>
      </x:c>
      <x:c r="O3" t="n">
        <x:f>AVERAGE(D6:D11)</x:f>
        <x:v>2.45</x:v>
      </x:c>
      <x:c r="P3" t="n">
        <x:v>2.45</x:v>
      </x:c>
    </x:row>
    <x:row r="4">
      <x:c r="N4" s="20" t="str">
        <x:v>memory_sd</x:v>
      </x:c>
      <x:c r="O4" t="n">
        <x:f>_xlfn.STDEV.S(D6:D11)</x:f>
        <x:v>0.10488088481701525</x:v>
      </x:c>
      <x:c r="P4" t="n">
        <x:v>0.10488088481701525</x:v>
      </x:c>
    </x:row>
    <x:row r="5">
      <x:c r="A5" s="12" t="str">
        <x:v>session_no</x:v>
      </x:c>
      <x:c r="B5" s="12" t="str">
        <x:v>fase</x:v>
      </x:c>
      <x:c r="C5" s="12" t="str">
        <x:v>quality_pass</x:v>
      </x:c>
      <x:c r="D5" s="12" t="str">
        <x:v>memory_dprime</x:v>
      </x:c>
      <x:c r="E5" s="12" t="str">
        <x:v>attention_rt_ms</x:v>
      </x:c>
      <x:c r="F5" s="12" t="str">
        <x:v>executive_ies_ms</x:v>
      </x:c>
      <x:c r="G5" s="12" t="str">
        <x:v>z_memory</x:v>
      </x:c>
      <x:c r="H5" s="12" t="str">
        <x:v>z_attention</x:v>
      </x:c>
      <x:c r="I5" s="12" t="str">
        <x:v>z_executive</x:v>
      </x:c>
      <x:c r="J5" s="12" t="str">
        <x:v>composite_raw</x:v>
      </x:c>
      <x:c r="K5" s="12" t="str">
        <x:v>composite_std</x:v>
      </x:c>
      <x:c r="L5" s="12" t="str">
        <x:v>ewma</x:v>
      </x:c>
      <x:c r="M5" s="24"/>
      <x:c r="N5" s="40" t="str">
        <x:v>attention_mean</x:v>
      </x:c>
      <x:c r="O5" s="24" t="n">
        <x:f>AVERAGE(E6:E11)</x:f>
        <x:v>513.3333333333334</x:v>
      </x:c>
      <x:c r="P5" s="24" t="n">
        <x:v>513.3333333333334</x:v>
      </x:c>
    </x:row>
    <x:row r="6">
      <x:c r="A6" s="24" t="n">
        <x:v>1</x:v>
      </x:c>
      <x:c r="B6" s="24" t="str">
        <x:v>baseline</x:v>
      </x:c>
      <x:c r="C6" s="41" t="b">
        <x:v>1</x:v>
      </x:c>
      <x:c r="D6" s="42" t="n">
        <x:v>2.4</x:v>
      </x:c>
      <x:c r="E6" s="42" t="n">
        <x:v>520</x:v>
      </x:c>
      <x:c r="F6" s="42" t="n">
        <x:v>610</x:v>
      </x:c>
      <x:c r="G6" s="42" t="n">
        <x:f>IF(C6,($O$3-D6)/$O$4,"")</x:f>
        <x:v>0.47673129462279823</x:v>
      </x:c>
      <x:c r="H6" s="42" t="n">
        <x:f>IF(C6,(E6-$O$5)/$O$6,"")</x:f>
        <x:v>0.6172133998483641</x:v>
      </x:c>
      <x:c r="I6" s="42" t="n">
        <x:f>IF(C6,(F6-$O$7)/$O$8,"")</x:f>
        <x:v>0.6172133998483641</x:v>
      </x:c>
      <x:c r="J6" s="42" t="n">
        <x:f>IF(C6,AVERAGE(G6:I6),"")</x:f>
        <x:v>0.5703860314398422</x:v>
      </x:c>
      <x:c r="K6" s="42" t="n">
        <x:f>IF(C6,J6/$O$9,"")</x:f>
        <x:v>0.5740966971489988</x:v>
      </x:c>
      <x:c r="L6" s="42" t="n">
        <x:v>0</x:v>
      </x:c>
      <x:c r="M6" s="24"/>
      <x:c r="N6" s="40" t="str">
        <x:v>attention_sd</x:v>
      </x:c>
      <x:c r="O6" s="24" t="n">
        <x:f>_xlfn.STDEV.S(E6:E11)</x:f>
        <x:v>10.801234497346433</x:v>
      </x:c>
      <x:c r="P6" s="24" t="n">
        <x:v>10.801234497346433</x:v>
      </x:c>
    </x:row>
    <x:row r="7">
      <x:c r="A7" s="24" t="n">
        <x:v>2</x:v>
      </x:c>
      <x:c r="B7" s="24" t="str">
        <x:v>baseline</x:v>
      </x:c>
      <x:c r="C7" s="41" t="b">
        <x:v>1</x:v>
      </x:c>
      <x:c r="D7" s="42" t="n">
        <x:v>2.5</x:v>
      </x:c>
      <x:c r="E7" s="42" t="n">
        <x:v>510</x:v>
      </x:c>
      <x:c r="F7" s="42" t="n">
        <x:v>600</x:v>
      </x:c>
      <x:c r="G7" s="42" t="n">
        <x:f>IF(C7,($O$3-D7)/$O$4,"")</x:f>
        <x:v>-0.476731294622794</x:v>
      </x:c>
      <x:c r="H7" s="42" t="n">
        <x:f>IF(C7,(E7-$O$5)/$O$6,"")</x:f>
        <x:v>-0.3086066999241873</x:v>
      </x:c>
      <x:c r="I7" s="42" t="n">
        <x:f>IF(C7,(F7-$O$7)/$O$8,"")</x:f>
        <x:v>-0.3086066999241873</x:v>
      </x:c>
      <x:c r="J7" s="42" t="n">
        <x:f>IF(C7,AVERAGE(G7:I7),"")</x:f>
        <x:v>-0.36464823149038955</x:v>
      </x:c>
      <x:c r="K7" s="42" t="n">
        <x:f>IF(C7,J7/$O$9,"")</x:f>
        <x:v>-0.3670204629510379</x:v>
      </x:c>
      <x:c r="L7" s="42" t="n">
        <x:v>0</x:v>
      </x:c>
      <x:c r="M7" s="24"/>
      <x:c r="N7" s="40" t="str">
        <x:v>executive_mean</x:v>
      </x:c>
      <x:c r="O7" s="24" t="n">
        <x:f>AVERAGE(F6:F11)</x:f>
        <x:v>603.3333333333334</x:v>
      </x:c>
      <x:c r="P7" s="24" t="n">
        <x:v>603.3333333333334</x:v>
      </x:c>
    </x:row>
    <x:row r="8">
      <x:c r="A8" s="24" t="n">
        <x:v>3</x:v>
      </x:c>
      <x:c r="B8" s="24" t="str">
        <x:v>baseline</x:v>
      </x:c>
      <x:c r="C8" s="41" t="b">
        <x:v>1</x:v>
      </x:c>
      <x:c r="D8" s="42" t="n">
        <x:v>2.3</x:v>
      </x:c>
      <x:c r="E8" s="42" t="n">
        <x:v>530</x:v>
      </x:c>
      <x:c r="F8" s="42" t="n">
        <x:v>620</x:v>
      </x:c>
      <x:c r="G8" s="42" t="n">
        <x:f>IF(C8,($O$3-D8)/$O$4,"")</x:f>
        <x:v>1.4301938838683905</x:v>
      </x:c>
      <x:c r="H8" s="42" t="n">
        <x:f>IF(C8,(E8-$O$5)/$O$6,"")</x:f>
        <x:v>1.5430334996209156</x:v>
      </x:c>
      <x:c r="I8" s="42" t="n">
        <x:f>IF(C8,(F8-$O$7)/$O$8,"")</x:f>
        <x:v>1.5430334996209156</x:v>
      </x:c>
      <x:c r="J8" s="42" t="n">
        <x:f>IF(C8,AVERAGE(G8:I8),"")</x:f>
        <x:v>1.505420294370074</x:v>
      </x:c>
      <x:c r="K8" s="42" t="n">
        <x:f>IF(C8,J8/$O$9,"")</x:f>
        <x:v>1.5152138572490355</x:v>
      </x:c>
      <x:c r="L8" s="42" t="n">
        <x:v>0</x:v>
      </x:c>
      <x:c r="M8" s="24"/>
      <x:c r="N8" s="40" t="str">
        <x:v>executive_sd</x:v>
      </x:c>
      <x:c r="O8" s="24" t="n">
        <x:f>_xlfn.STDEV.S(F6:F11)</x:f>
        <x:v>10.801234497346433</x:v>
      </x:c>
      <x:c r="P8" s="24" t="n">
        <x:v>10.801234497346433</x:v>
      </x:c>
    </x:row>
    <x:row r="9">
      <x:c r="A9" s="24" t="n">
        <x:v>4</x:v>
      </x:c>
      <x:c r="B9" s="24" t="str">
        <x:v>baseline</x:v>
      </x:c>
      <x:c r="C9" s="41" t="b">
        <x:v>1</x:v>
      </x:c>
      <x:c r="D9" s="42" t="n">
        <x:v>2.6</x:v>
      </x:c>
      <x:c r="E9" s="42" t="n">
        <x:v>500</x:v>
      </x:c>
      <x:c r="F9" s="42" t="n">
        <x:v>590</x:v>
      </x:c>
      <x:c r="G9" s="42" t="n">
        <x:f>IF(C9,($O$3-D9)/$O$4,"")</x:f>
        <x:v>-1.4301938838683863</x:v>
      </x:c>
      <x:c r="H9" s="42" t="n">
        <x:f>IF(C9,(E9-$O$5)/$O$6,"")</x:f>
        <x:v>-1.2344267996967389</x:v>
      </x:c>
      <x:c r="I9" s="42" t="n">
        <x:f>IF(C9,(F9-$O$7)/$O$8,"")</x:f>
        <x:v>-1.2344267996967389</x:v>
      </x:c>
      <x:c r="J9" s="42" t="n">
        <x:f>IF(C9,AVERAGE(G9:I9),"")</x:f>
        <x:v>-1.2996824944206213</x:v>
      </x:c>
      <x:c r="K9" s="42" t="n">
        <x:f>IF(C9,J9/$O$9,"")</x:f>
        <x:v>-1.3081376230510746</x:v>
      </x:c>
      <x:c r="L9" s="42" t="n">
        <x:v>0</x:v>
      </x:c>
      <x:c r="M9" s="24"/>
      <x:c r="N9" s="40" t="str">
        <x:v>composite_baseline_sd</x:v>
      </x:c>
      <x:c r="O9" s="24" t="n">
        <x:f>_xlfn.STDEV.S(J6:J11)</x:f>
        <x:v>0.9935365144450683</x:v>
      </x:c>
      <x:c r="P9" s="24" t="n">
        <x:v>0.9935365144450682</x:v>
      </x:c>
    </x:row>
    <x:row r="10">
      <x:c r="A10" s="24" t="n">
        <x:v>5</x:v>
      </x:c>
      <x:c r="B10" s="24" t="str">
        <x:v>baseline</x:v>
      </x:c>
      <x:c r="C10" s="41" t="b">
        <x:v>1</x:v>
      </x:c>
      <x:c r="D10" s="42" t="n">
        <x:v>2.4</x:v>
      </x:c>
      <x:c r="E10" s="42" t="n">
        <x:v>515</x:v>
      </x:c>
      <x:c r="F10" s="42" t="n">
        <x:v>605</x:v>
      </x:c>
      <x:c r="G10" s="42" t="n">
        <x:f>IF(C10,($O$3-D10)/$O$4,"")</x:f>
        <x:v>0.47673129462279823</x:v>
      </x:c>
      <x:c r="H10" s="42" t="n">
        <x:f>IF(C10,(E10-$O$5)/$O$6,"")</x:f>
        <x:v>0.15430334996208842</x:v>
      </x:c>
      <x:c r="I10" s="42" t="n">
        <x:f>IF(C10,(F10-$O$7)/$O$8,"")</x:f>
        <x:v>0.15430334996208842</x:v>
      </x:c>
      <x:c r="J10" s="42" t="n">
        <x:f>IF(C10,AVERAGE(G10:I10),"")</x:f>
        <x:v>0.26177933151565835</x:v>
      </x:c>
      <x:c r="K10" s="42" t="n">
        <x:f>IF(C10,J10/$O$9,"")</x:f>
        <x:v>0.2634823458520526</x:v>
      </x:c>
      <x:c r="L10" s="42" t="n">
        <x:v>0</x:v>
      </x:c>
      <x:c r="M10" s="24"/>
      <x:c r="N10" s="40" t="str">
        <x:v>sigma_ewma</x:v>
      </x:c>
      <x:c r="O10" s="24" t="n">
        <x:f>SQRT(Parametros!$B$2/(2-Parametros!$B$2))</x:f>
        <x:v>0.33333333333333337</x:v>
      </x:c>
      <x:c r="P10" s="24" t="n">
        <x:v>0.33333333333333337</x:v>
      </x:c>
    </x:row>
    <x:row r="11">
      <x:c r="A11" s="24" t="n">
        <x:v>6</x:v>
      </x:c>
      <x:c r="B11" s="24" t="str">
        <x:v>baseline</x:v>
      </x:c>
      <x:c r="C11" s="41" t="b">
        <x:v>1</x:v>
      </x:c>
      <x:c r="D11" s="42" t="n">
        <x:v>2.5</x:v>
      </x:c>
      <x:c r="E11" s="42" t="n">
        <x:v>505</x:v>
      </x:c>
      <x:c r="F11" s="42" t="n">
        <x:v>595</x:v>
      </x:c>
      <x:c r="G11" s="42" t="n">
        <x:f>IF(C11,($O$3-D11)/$O$4,"")</x:f>
        <x:v>-0.476731294622794</x:v>
      </x:c>
      <x:c r="H11" s="42" t="n">
        <x:f>IF(C11,(E11-$O$5)/$O$6,"")</x:f>
        <x:v>-0.771516749810463</x:v>
      </x:c>
      <x:c r="I11" s="42" t="n">
        <x:f>IF(C11,(F11-$O$7)/$O$8,"")</x:f>
        <x:v>-0.771516749810463</x:v>
      </x:c>
      <x:c r="J11" s="42" t="n">
        <x:f>IF(C11,AVERAGE(G11:I11),"")</x:f>
        <x:v>-0.6732549314145734</x:v>
      </x:c>
      <x:c r="K11" s="42" t="n">
        <x:f>IF(C11,J11/$O$9,"")</x:f>
        <x:v>-0.677634814247984</x:v>
      </x:c>
      <x:c r="L11" s="42" t="n">
        <x:v>0</x:v>
      </x:c>
      <x:c r="M11" s="24"/>
      <x:c r="N11" s="40" t="str">
        <x:v>warn_limit</x:v>
      </x:c>
      <x:c r="O11" s="24" t="n">
        <x:f>Parametros!$B$3*O10</x:f>
        <x:v>0.6666666666666667</x:v>
      </x:c>
      <x:c r="P11" s="24" t="n">
        <x:v>0.6666666666666667</x:v>
      </x:c>
    </x:row>
    <x:row r="12">
      <x:c r="A12" s="24" t="n">
        <x:v>7</x:v>
      </x:c>
      <x:c r="B12" s="24" t="str">
        <x:v>monitor</x:v>
      </x:c>
      <x:c r="C12" s="41" t="b">
        <x:v>1</x:v>
      </x:c>
      <x:c r="D12" s="42" t="n">
        <x:v>2.38</x:v>
      </x:c>
      <x:c r="E12" s="42" t="n">
        <x:v>518</x:v>
      </x:c>
      <x:c r="F12" s="42" t="n">
        <x:v>608</x:v>
      </x:c>
      <x:c r="G12" s="42" t="n">
        <x:f>IF(C12,($O$3-D12)/$O$4,"")</x:f>
        <x:v>0.6674238124719167</x:v>
      </x:c>
      <x:c r="H12" s="42" t="n">
        <x:f>IF(C12,(E12-$O$5)/$O$6,"")</x:f>
        <x:v>0.43204937989385384</x:v>
      </x:c>
      <x:c r="I12" s="42" t="n">
        <x:f>IF(C12,(F12-$O$7)/$O$8,"")</x:f>
        <x:v>0.43204937989385384</x:v>
      </x:c>
      <x:c r="J12" s="42" t="n">
        <x:f>IF(C12,AVERAGE(G12:I12),"")</x:f>
        <x:v>0.5105075240865414</x:v>
      </x:c>
      <x:c r="K12" s="42" t="n">
        <x:f>IF(C12,J12/$O$9,"")</x:f>
        <x:v>0.5138286481314491</x:v>
      </x:c>
      <x:c r="L12" s="42" t="n">
        <x:f>Parametros!$B$2*K12+(1-Parametros!$B$2)*0</x:f>
        <x:v>0.10276572962628983</x:v>
      </x:c>
      <x:c r="M12" s="24"/>
      <x:c r="N12" s="40" t="str">
        <x:v>action_limit</x:v>
      </x:c>
      <x:c r="O12" s="24" t="n">
        <x:f>Parametros!$B$4*O10</x:f>
        <x:v>1</x:v>
      </x:c>
      <x:c r="P12" s="24" t="n">
        <x:v>1</x:v>
      </x:c>
    </x:row>
    <x:row r="13">
      <x:c r="A13" s="24" t="n">
        <x:v>8</x:v>
      </x:c>
      <x:c r="B13" s="24" t="str">
        <x:v>monitor</x:v>
      </x:c>
      <x:c r="C13" s="41" t="b">
        <x:v>1</x:v>
      </x:c>
      <x:c r="D13" s="42" t="n">
        <x:v>2.32</x:v>
      </x:c>
      <x:c r="E13" s="42" t="n">
        <x:v>525</x:v>
      </x:c>
      <x:c r="F13" s="42" t="n">
        <x:v>615</x:v>
      </x:c>
      <x:c r="G13" s="42" t="n">
        <x:f>IF(C13,($O$3-D13)/$O$4,"")</x:f>
        <x:v>1.239501366019272</x:v>
      </x:c>
      <x:c r="H13" s="42" t="n">
        <x:f>IF(C13,(E13-$O$5)/$O$6,"")</x:f>
        <x:v>1.08012344973464</x:v>
      </x:c>
      <x:c r="I13" s="42" t="n">
        <x:f>IF(C13,(F13-$O$7)/$O$8,"")</x:f>
        <x:v>1.08012344973464</x:v>
      </x:c>
      <x:c r="J13" s="42" t="n">
        <x:f>IF(C13,AVERAGE(G13:I13),"")</x:f>
        <x:v>1.1332494218295173</x:v>
      </x:c>
      <x:c r="K13" s="42" t="n">
        <x:f>IF(C13,J13/$O$9,"")</x:f>
        <x:v>1.1406218144508604</x:v>
      </x:c>
      <x:c r="L13" s="42" t="n">
        <x:f>Parametros!$B$2*K13+(1-Parametros!$B$2)*L12</x:f>
        <x:v>0.310336946591204</x:v>
      </x:c>
      <x:c r="M13" s="24"/>
      <x:c r="N13" s="40" t="str">
        <x:v>signal_index_0_100</x:v>
      </x:c>
      <x:c r="O13" s="24" t="n">
        <x:f>MIN(100,MAX(0,100*L14/O12))</x:f>
        <x:v>60.81503225771403</x:v>
      </x:c>
      <x:c r="P13" s="24" t="n">
        <x:v>60.81503225771403</x:v>
      </x:c>
    </x:row>
    <x:row r="14">
      <x:c r="A14" s="24" t="n">
        <x:v>9</x:v>
      </x:c>
      <x:c r="B14" s="24" t="str">
        <x:v>monitor</x:v>
      </x:c>
      <x:c r="C14" s="41" t="b">
        <x:v>1</x:v>
      </x:c>
      <x:c r="D14" s="42" t="n">
        <x:v>2.25</x:v>
      </x:c>
      <x:c r="E14" s="42" t="n">
        <x:v>532</x:v>
      </x:c>
      <x:c r="F14" s="42" t="n">
        <x:v>622</x:v>
      </x:c>
      <x:c r="G14" s="42" t="n">
        <x:f>IF(C14,($O$3-D14)/$O$4,"")</x:f>
        <x:v>1.9069251784911845</x:v>
      </x:c>
      <x:c r="H14" s="42" t="n">
        <x:f>IF(C14,(E14-$O$5)/$O$6,"")</x:f>
        <x:v>1.728197519575426</x:v>
      </x:c>
      <x:c r="I14" s="42" t="n">
        <x:f>IF(C14,(F14-$O$7)/$O$8,"")</x:f>
        <x:v>1.728197519575426</x:v>
      </x:c>
      <x:c r="J14" s="42" t="n">
        <x:f>IF(C14,AVERAGE(G14:I14),"")</x:f>
        <x:v>1.787773405880679</x:v>
      </x:c>
      <x:c r="K14" s="42" t="n">
        <x:f>IF(C14,J14/$O$9,"")</x:f>
        <x:v>1.7994038265208854</x:v>
      </x:c>
      <x:c r="L14" s="42" t="n">
        <x:f>Parametros!$B$2*K14+(1-Parametros!$B$2)*L13</x:f>
        <x:v>0.6081503225771403</x:v>
      </x:c>
      <x:c r="M14" s="24"/>
      <x:c r="N14" s="40" t="str">
        <x:v>category</x:v>
      </x:c>
      <x:c r="O14" s="24" t="str">
        <x:f>IF(L14&gt;=O12,"discuss_with_clinician",IF(L14&gt;=O11,"watch","stable"))</x:f>
        <x:v>stable</x:v>
      </x:c>
      <x:c r="P14" s="24" t="str">
        <x:v>stable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.25" hidden="0" customWidth="1"/>
    <x:col min="2" max="2" width="32" hidden="0" customWidth="1"/>
    <x:col min="3" max="3" width="3.630000114440918" hidden="0" customWidth="1"/>
    <x:col min="4" max="4" width="4.380000114440918" hidden="0" customWidth="1"/>
    <x:col min="5" max="5" width="7" hidden="0" customWidth="1"/>
    <x:col min="6" max="6" width="14" hidden="0" customWidth="1"/>
    <x:col min="7" max="7" width="17" hidden="0" customWidth="1"/>
    <x:col min="8" max="8" width="10.25" hidden="0" customWidth="1"/>
    <x:col min="9" max="9" width="11.380000114440918" hidden="0" customWidth="1"/>
    <x:col min="10" max="10" width="14.5" hidden="0" customWidth="1"/>
    <x:col min="11" max="11" width="36" hidden="0" customWidth="1"/>
  </x:cols>
  <x:sheetData>
    <x:row r="1" ht="24" customHeight="1">
      <x:c r="A1" s="12" t="str">
        <x:v>id</x:v>
      </x:c>
      <x:c r="B1" s="12" t="str">
        <x:v>caso</x:v>
      </x:c>
      <x:c r="C1" s="12" t="str">
        <x:v>pais</x:v>
      </x:c>
      <x:c r="D1" s="12" t="str">
        <x:v>edad</x:v>
      </x:c>
      <x:c r="E1" s="12" t="str">
        <x:v>tipo</x:v>
      </x:c>
      <x:c r="F1" s="12" t="str">
        <x:v>expected_status</x:v>
      </x:c>
      <x:c r="G1" s="12" t="str">
        <x:v>expected_category</x:v>
      </x:c>
      <x:c r="H1" s="12" t="str">
        <x:v>signal_index</x:v>
      </x:c>
      <x:c r="I1" s="12" t="str">
        <x:v>valid_sessions</x:v>
      </x:c>
      <x:c r="J1" s="12" t="str">
        <x:v>excluded_sessions</x:v>
      </x:c>
      <x:c r="K1" s="12" t="str">
        <x:v>nota</x:v>
      </x:c>
    </x:row>
    <x:row r="2">
      <x:c r="A2" s="24" t="str">
        <x:v>T01</x:v>
      </x:c>
      <x:c r="B2" s="24" t="str">
        <x:v>US típico estable</x:v>
      </x:c>
      <x:c r="C2" s="24" t="str">
        <x:v>US</x:v>
      </x:c>
      <x:c r="D2" s="24" t="n">
        <x:v>65</x:v>
      </x:c>
      <x:c r="E2" s="24" t="str">
        <x:v>tipico</x:v>
      </x:c>
      <x:c r="F2" s="24" t="str">
        <x:v>scored</x:v>
      </x:c>
      <x:c r="G2" s="24" t="str">
        <x:v>stable</x:v>
      </x:c>
      <x:c r="H2" s="28" t="n">
        <x:v>60.81503225771403</x:v>
      </x:c>
      <x:c r="I2" s="24" t="n">
        <x:v>9</x:v>
      </x:c>
      <x:c r="J2" s="24" t="n">
        <x:v>0</x:v>
      </x:c>
      <x:c r="K2" s="24" t="str">
        <x:v>Salida generada ejecutando engine_reference.py; detalle completo en test_vectors.json</x:v>
      </x:c>
    </x:row>
    <x:row r="3">
      <x:c r="A3" s="24" t="str">
        <x:v>T02</x:v>
      </x:c>
      <x:c r="B3" s="24" t="str">
        <x:v>GB típico watch</x:v>
      </x:c>
      <x:c r="C3" s="24" t="str">
        <x:v>GB</x:v>
      </x:c>
      <x:c r="D3" s="24" t="n">
        <x:v>70</x:v>
      </x:c>
      <x:c r="E3" s="24" t="str">
        <x:v>tipico</x:v>
      </x:c>
      <x:c r="F3" s="24" t="str">
        <x:v>scored</x:v>
      </x:c>
      <x:c r="G3" s="24" t="str">
        <x:v>watch</x:v>
      </x:c>
      <x:c r="H3" s="28" t="n">
        <x:v>86.7713067509829</x:v>
      </x:c>
      <x:c r="I3" s="24" t="n">
        <x:v>7</x:v>
      </x:c>
      <x:c r="J3" s="24" t="n">
        <x:v>0</x:v>
      </x:c>
      <x:c r="K3" s="24" t="str">
        <x:v>Salida generada ejecutando engine_reference.py; detalle completo en test_vectors.json</x:v>
      </x:c>
    </x:row>
    <x:row r="4">
      <x:c r="A4" s="24" t="str">
        <x:v>T03</x:v>
      </x:c>
      <x:c r="B4" s="24" t="str">
        <x:v>BR típico discutir con clínico</x:v>
      </x:c>
      <x:c r="C4" s="24" t="str">
        <x:v>BR</x:v>
      </x:c>
      <x:c r="D4" s="24" t="n">
        <x:v>68</x:v>
      </x:c>
      <x:c r="E4" s="24" t="str">
        <x:v>tipico</x:v>
      </x:c>
      <x:c r="F4" s="24" t="str">
        <x:v>scored</x:v>
      </x:c>
      <x:c r="G4" s="24" t="str">
        <x:v>discuss_with_clinician</x:v>
      </x:c>
      <x:c r="H4" s="28" t="n">
        <x:v>100</x:v>
      </x:c>
      <x:c r="I4" s="24" t="n">
        <x:v>9</x:v>
      </x:c>
      <x:c r="J4" s="24" t="n">
        <x:v>0</x:v>
      </x:c>
      <x:c r="K4" s="24" t="str">
        <x:v>Salida generada ejecutando engine_reference.py; detalle completo en test_vectors.json</x:v>
      </x:c>
    </x:row>
    <x:row r="5">
      <x:c r="A5" s="24" t="str">
        <x:v>T04</x:v>
      </x:c>
      <x:c r="B5" s="24" t="str">
        <x:v>ES típico mejora</x:v>
      </x:c>
      <x:c r="C5" s="24" t="str">
        <x:v>ES</x:v>
      </x:c>
      <x:c r="D5" s="24" t="n">
        <x:v>62</x:v>
      </x:c>
      <x:c r="E5" s="24" t="str">
        <x:v>tipico</x:v>
      </x:c>
      <x:c r="F5" s="24" t="str">
        <x:v>scored</x:v>
      </x:c>
      <x:c r="G5" s="24" t="str">
        <x:v>stable</x:v>
      </x:c>
      <x:c r="H5" s="28" t="n">
        <x:v>0</x:v>
      </x:c>
      <x:c r="I5" s="24" t="n">
        <x:v>8</x:v>
      </x:c>
      <x:c r="J5" s="24" t="n">
        <x:v>0</x:v>
      </x:c>
      <x:c r="K5" s="24" t="str">
        <x:v>Salida generada ejecutando engine_reference.py; detalle completo en test_vectors.json</x:v>
      </x:c>
    </x:row>
    <x:row r="6">
      <x:c r="A6" s="24" t="str">
        <x:v>T05</x:v>
      </x:c>
      <x:c r="B6" s="24" t="str">
        <x:v>MX típico watch</x:v>
      </x:c>
      <x:c r="C6" s="24" t="str">
        <x:v>MX</x:v>
      </x:c>
      <x:c r="D6" s="24" t="n">
        <x:v>74</x:v>
      </x:c>
      <x:c r="E6" s="24" t="str">
        <x:v>tipico</x:v>
      </x:c>
      <x:c r="F6" s="24" t="str">
        <x:v>scored</x:v>
      </x:c>
      <x:c r="G6" s="24" t="str">
        <x:v>watch</x:v>
      </x:c>
      <x:c r="H6" s="28" t="n">
        <x:v>75</x:v>
      </x:c>
      <x:c r="I6" s="24" t="n">
        <x:v>7</x:v>
      </x:c>
      <x:c r="J6" s="24" t="n">
        <x:v>0</x:v>
      </x:c>
      <x:c r="K6" s="24" t="str">
        <x:v>Salida generada ejecutando engine_reference.py; detalle completo en test_vectors.json</x:v>
      </x:c>
    </x:row>
    <x:row r="7">
      <x:c r="A7" s="24" t="str">
        <x:v>T06</x:v>
      </x:c>
      <x:c r="B7" s="24" t="str">
        <x:v>Edad mínima 55</x:v>
      </x:c>
      <x:c r="C7" s="24" t="str">
        <x:v>US</x:v>
      </x:c>
      <x:c r="D7" s="24" t="n">
        <x:v>55</x:v>
      </x:c>
      <x:c r="E7" s="24" t="str">
        <x:v>borde</x:v>
      </x:c>
      <x:c r="F7" s="24" t="str">
        <x:v>scored</x:v>
      </x:c>
      <x:c r="G7" s="24" t="str">
        <x:v>stable</x:v>
      </x:c>
      <x:c r="H7" s="28" t="n">
        <x:v>3.9900930870164752</x:v>
      </x:c>
      <x:c r="I7" s="24" t="n">
        <x:v>7</x:v>
      </x:c>
      <x:c r="J7" s="24" t="n">
        <x:v>0</x:v>
      </x:c>
      <x:c r="K7" s="24" t="str">
        <x:v>Salida generada ejecutando engine_reference.py; detalle completo en test_vectors.json</x:v>
      </x:c>
    </x:row>
    <x:row r="8">
      <x:c r="A8" s="24" t="str">
        <x:v>T07</x:v>
      </x:c>
      <x:c r="B8" s="24" t="str">
        <x:v>Edad máxima 90</x:v>
      </x:c>
      <x:c r="C8" s="24" t="str">
        <x:v>ES</x:v>
      </x:c>
      <x:c r="D8" s="24" t="n">
        <x:v>90</x:v>
      </x:c>
      <x:c r="E8" s="24" t="str">
        <x:v>borde</x:v>
      </x:c>
      <x:c r="F8" s="24" t="str">
        <x:v>scored</x:v>
      </x:c>
      <x:c r="G8" s="24" t="str">
        <x:v>stable</x:v>
      </x:c>
      <x:c r="H8" s="28" t="n">
        <x:v>20.89310554398033</x:v>
      </x:c>
      <x:c r="I8" s="24" t="n">
        <x:v>7</x:v>
      </x:c>
      <x:c r="J8" s="24" t="n">
        <x:v>0</x:v>
      </x:c>
      <x:c r="K8" s="24" t="str">
        <x:v>Salida generada ejecutando engine_reference.py; detalle completo en test_vectors.json</x:v>
      </x:c>
    </x:row>
    <x:row r="9">
      <x:c r="A9" s="24" t="str">
        <x:v>T08</x:v>
      </x:c>
      <x:c r="B9" s="24" t="str">
        <x:v>Baseline incompleto con 5 sesiones válidas</x:v>
      </x:c>
      <x:c r="C9" s="24" t="str">
        <x:v>MX</x:v>
      </x:c>
      <x:c r="D9" s="24" t="n">
        <x:v>66</x:v>
      </x:c>
      <x:c r="E9" s="24" t="str">
        <x:v>calidad</x:v>
      </x:c>
      <x:c r="F9" s="24" t="str">
        <x:v>baseline_building</x:v>
      </x:c>
      <x:c r="G9" s="24" t="str">
        <x:v>baseline_building</x:v>
      </x:c>
      <x:c r="H9" s="28"/>
      <x:c r="I9" s="24" t="n">
        <x:v>5</x:v>
      </x:c>
      <x:c r="J9" s="24" t="n">
        <x:v>0</x:v>
      </x:c>
      <x:c r="K9" s="24" t="str">
        <x:v>Salida generada ejecutando engine_reference.py; detalle completo en test_vectors.json</x:v>
      </x:c>
    </x:row>
    <x:row r="10">
      <x:c r="A10" s="24" t="str">
        <x:v>T09</x:v>
      </x:c>
      <x:c r="B10" s="24" t="str">
        <x:v>Baseline listo exactamente 6 sesiones</x:v>
      </x:c>
      <x:c r="C10" s="24" t="str">
        <x:v>GB</x:v>
      </x:c>
      <x:c r="D10" s="24" t="n">
        <x:v>66</x:v>
      </x:c>
      <x:c r="E10" s="24" t="str">
        <x:v>calidad</x:v>
      </x:c>
      <x:c r="F10" s="24" t="str">
        <x:v>baseline_ready</x:v>
      </x:c>
      <x:c r="G10" s="24" t="str">
        <x:v>baseline_ready</x:v>
      </x:c>
      <x:c r="H10" s="28" t="n">
        <x:v>0</x:v>
      </x:c>
      <x:c r="I10" s="24" t="n">
        <x:v>6</x:v>
      </x:c>
      <x:c r="J10" s="24" t="n">
        <x:v>0</x:v>
      </x:c>
      <x:c r="K10" s="24" t="str">
        <x:v>Salida generada ejecutando engine_reference.py; detalle completo en test_vectors.json</x:v>
      </x:c>
    </x:row>
    <x:row r="11">
      <x:c r="A11" s="24" t="str">
        <x:v>T10</x:v>
      </x:c>
      <x:c r="B11" s="24" t="str">
        <x:v>Una sesión excluida por calidad</x:v>
      </x:c>
      <x:c r="C11" s="24" t="str">
        <x:v>US</x:v>
      </x:c>
      <x:c r="D11" s="24" t="n">
        <x:v>67</x:v>
      </x:c>
      <x:c r="E11" s="24" t="str">
        <x:v>calidad</x:v>
      </x:c>
      <x:c r="F11" s="24" t="str">
        <x:v>baseline_ready</x:v>
      </x:c>
      <x:c r="G11" s="24" t="str">
        <x:v>baseline_ready</x:v>
      </x:c>
      <x:c r="H11" s="28" t="n">
        <x:v>0</x:v>
      </x:c>
      <x:c r="I11" s="24" t="n">
        <x:v>6</x:v>
      </x:c>
      <x:c r="J11" s="24" t="n">
        <x:v>1</x:v>
      </x:c>
      <x:c r="K11" s="24" t="str">
        <x:v>Salida generada ejecutando engine_reference.py; detalle completo en test_vectors.json</x:v>
      </x:c>
    </x:row>
    <x:row r="12">
      <x:c r="A12" s="24" t="str">
        <x:v>T11</x:v>
      </x:c>
      <x:c r="B12" s="24" t="str">
        <x:v>Dominio ejecutivo sin variabilidad; quedan 2 dominios</x:v>
      </x:c>
      <x:c r="C12" s="24" t="str">
        <x:v>BR</x:v>
      </x:c>
      <x:c r="D12" s="24" t="n">
        <x:v>60</x:v>
      </x:c>
      <x:c r="E12" s="24" t="str">
        <x:v>calidad</x:v>
      </x:c>
      <x:c r="F12" s="24" t="str">
        <x:v>scored</x:v>
      </x:c>
      <x:c r="G12" s="24" t="str">
        <x:v>stable</x:v>
      </x:c>
      <x:c r="H12" s="28" t="n">
        <x:v>29.95014255860204</x:v>
      </x:c>
      <x:c r="I12" s="24" t="n">
        <x:v>7</x:v>
      </x:c>
      <x:c r="J12" s="24" t="n">
        <x:v>0</x:v>
      </x:c>
      <x:c r="K12" s="24" t="str">
        <x:v>Salida generada ejecutando engine_reference.py; detalle completo en test_vectors.json</x:v>
      </x:c>
    </x:row>
    <x:row r="13">
      <x:c r="A13" s="24" t="str">
        <x:v>T12</x:v>
      </x:c>
      <x:c r="B13" s="24" t="str">
        <x:v>Solo un dominio variable; baseline inestable</x:v>
      </x:c>
      <x:c r="C13" s="24" t="str">
        <x:v>MX</x:v>
      </x:c>
      <x:c r="D13" s="24" t="n">
        <x:v>61</x:v>
      </x:c>
      <x:c r="E13" s="24" t="str">
        <x:v>calidad</x:v>
      </x:c>
      <x:c r="F13" s="24" t="str">
        <x:v>baseline_unstable</x:v>
      </x:c>
      <x:c r="G13" s="24" t="str">
        <x:v>baseline_unstable</x:v>
      </x:c>
      <x:c r="H13" s="28"/>
      <x:c r="I13" s="24" t="n">
        <x:v>7</x:v>
      </x:c>
      <x:c r="J13" s="24" t="n">
        <x:v>0</x:v>
      </x:c>
      <x:c r="K13" s="24" t="str">
        <x:v>Salida generada ejecutando engine_reference.py; detalle completo en test_vectors.json</x:v>
      </x:c>
    </x:row>
    <x:row r="14">
      <x:c r="A14" s="24" t="str">
        <x:v>T13</x:v>
      </x:c>
      <x:c r="B14" s="24" t="str">
        <x:v>Borde justo debajo de warning</x:v>
      </x:c>
      <x:c r="C14" s="24" t="str">
        <x:v>US</x:v>
      </x:c>
      <x:c r="D14" s="24" t="n">
        <x:v>64</x:v>
      </x:c>
      <x:c r="E14" s="24" t="str">
        <x:v>borde</x:v>
      </x:c>
      <x:c r="F14" s="24" t="str">
        <x:v>scored</x:v>
      </x:c>
      <x:c r="G14" s="24" t="str">
        <x:v>stable</x:v>
      </x:c>
      <x:c r="H14" s="28" t="n">
        <x:v>64.99999999999994</x:v>
      </x:c>
      <x:c r="I14" s="24" t="n">
        <x:v>7</x:v>
      </x:c>
      <x:c r="J14" s="24" t="n">
        <x:v>0</x:v>
      </x:c>
      <x:c r="K14" s="24" t="str">
        <x:v>Salida generada ejecutando engine_reference.py; detalle completo en test_vectors.json</x:v>
      </x:c>
    </x:row>
    <x:row r="15">
      <x:c r="A15" s="24" t="str">
        <x:v>T14</x:v>
      </x:c>
      <x:c r="B15" s="24" t="str">
        <x:v>Borde justo encima de warning</x:v>
      </x:c>
      <x:c r="C15" s="24" t="str">
        <x:v>GB</x:v>
      </x:c>
      <x:c r="D15" s="24" t="n">
        <x:v>64</x:v>
      </x:c>
      <x:c r="E15" s="24" t="str">
        <x:v>borde</x:v>
      </x:c>
      <x:c r="F15" s="24" t="str">
        <x:v>scored</x:v>
      </x:c>
      <x:c r="G15" s="24" t="str">
        <x:v>watch</x:v>
      </x:c>
      <x:c r="H15" s="28" t="n">
        <x:v>67.00000000000001</x:v>
      </x:c>
      <x:c r="I15" s="24" t="n">
        <x:v>7</x:v>
      </x:c>
      <x:c r="J15" s="24" t="n">
        <x:v>0</x:v>
      </x:c>
      <x:c r="K15" s="24" t="str">
        <x:v>Salida generada ejecutando engine_reference.py; detalle completo en test_vectors.json</x:v>
      </x:c>
    </x:row>
    <x:row r="16">
      <x:c r="A16" s="24" t="str">
        <x:v>T15</x:v>
      </x:c>
      <x:c r="B16" s="24" t="str">
        <x:v>Borde justo debajo de acción</x:v>
      </x:c>
      <x:c r="C16" s="24" t="str">
        <x:v>ES</x:v>
      </x:c>
      <x:c r="D16" s="24" t="n">
        <x:v>64</x:v>
      </x:c>
      <x:c r="E16" s="24" t="str">
        <x:v>borde</x:v>
      </x:c>
      <x:c r="F16" s="24" t="str">
        <x:v>scored</x:v>
      </x:c>
      <x:c r="G16" s="24" t="str">
        <x:v>watch</x:v>
      </x:c>
      <x:c r="H16" s="28" t="n">
        <x:v>98.99999999999999</x:v>
      </x:c>
      <x:c r="I16" s="24" t="n">
        <x:v>7</x:v>
      </x:c>
      <x:c r="J16" s="24" t="n">
        <x:v>0</x:v>
      </x:c>
      <x:c r="K16" s="24" t="str">
        <x:v>Salida generada ejecutando engine_reference.py; detalle completo en test_vectors.json</x:v>
      </x:c>
    </x:row>
    <x:row r="17">
      <x:c r="A17" s="24" t="str">
        <x:v>T16</x:v>
      </x:c>
      <x:c r="B17" s="24" t="str">
        <x:v>Borde justo encima de acción</x:v>
      </x:c>
      <x:c r="C17" s="24" t="str">
        <x:v>BR</x:v>
      </x:c>
      <x:c r="D17" s="24" t="n">
        <x:v>64</x:v>
      </x:c>
      <x:c r="E17" s="24" t="str">
        <x:v>borde</x:v>
      </x:c>
      <x:c r="F17" s="24" t="str">
        <x:v>scored</x:v>
      </x:c>
      <x:c r="G17" s="24" t="str">
        <x:v>discuss_with_clinician</x:v>
      </x:c>
      <x:c r="H17" s="28" t="n">
        <x:v>100</x:v>
      </x:c>
      <x:c r="I17" s="24" t="n">
        <x:v>7</x:v>
      </x:c>
      <x:c r="J17" s="24" t="n">
        <x:v>0</x:v>
      </x:c>
      <x:c r="K17" s="24" t="str">
        <x:v>Salida generada ejecutando engine_reference.py; detalle completo en test_vectors.json</x:v>
      </x:c>
    </x:row>
    <x:row r="18">
      <x:c r="A18" s="24" t="str">
        <x:v>T17</x:v>
      </x:c>
      <x:c r="B18" s="24" t="str">
        <x:v>Contexto poor_sleep y autorreporte sí</x:v>
      </x:c>
      <x:c r="C18" s="24" t="str">
        <x:v>MX</x:v>
      </x:c>
      <x:c r="D18" s="24" t="n">
        <x:v>72</x:v>
      </x:c>
      <x:c r="E18" s="24" t="str">
        <x:v>tipico</x:v>
      </x:c>
      <x:c r="F18" s="24" t="str">
        <x:v>scored</x:v>
      </x:c>
      <x:c r="G18" s="24" t="str">
        <x:v>stable</x:v>
      </x:c>
      <x:c r="H18" s="28" t="n">
        <x:v>8.997019132604406</x:v>
      </x:c>
      <x:c r="I18" s="24" t="n">
        <x:v>7</x:v>
      </x:c>
      <x:c r="J18" s="24" t="n">
        <x:v>0</x:v>
      </x:c>
      <x:c r="K18" s="24" t="str">
        <x:v>Salida generada ejecutando engine_reference.py; detalle completo en test_vectors.json</x:v>
      </x:c>
    </x:row>
    <x:row r="19">
      <x:c r="A19" s="24" t="str">
        <x:v>T18</x:v>
      </x:c>
      <x:c r="B19" s="24" t="str">
        <x:v>Límites inferiores de métricas dentro del esquema</x:v>
      </x:c>
      <x:c r="C19" s="24" t="str">
        <x:v>US</x:v>
      </x:c>
      <x:c r="D19" s="24" t="n">
        <x:v>58</x:v>
      </x:c>
      <x:c r="E19" s="24" t="str">
        <x:v>borde</x:v>
      </x:c>
      <x:c r="F19" s="24" t="str">
        <x:v>scored</x:v>
      </x:c>
      <x:c r="G19" s="24" t="str">
        <x:v>stable</x:v>
      </x:c>
      <x:c r="H19" s="28" t="n">
        <x:v>0</x:v>
      </x:c>
      <x:c r="I19" s="24" t="n">
        <x:v>7</x:v>
      </x:c>
      <x:c r="J19" s="24" t="n">
        <x:v>0</x:v>
      </x:c>
      <x:c r="K19" s="24" t="str">
        <x:v>Salida generada ejecutando engine_reference.py; detalle completo en test_vectors.json</x:v>
      </x:c>
    </x:row>
    <x:row r="20">
      <x:c r="A20" s="24" t="str">
        <x:v>T19</x:v>
      </x:c>
      <x:c r="B20" s="24" t="str">
        <x:v>Límites superiores de métricas dentro del esquema</x:v>
      </x:c>
      <x:c r="C20" s="24" t="str">
        <x:v>GB</x:v>
      </x:c>
      <x:c r="D20" s="24" t="n">
        <x:v>89</x:v>
      </x:c>
      <x:c r="E20" s="24" t="str">
        <x:v>borde</x:v>
      </x:c>
      <x:c r="F20" s="24" t="str">
        <x:v>scored</x:v>
      </x:c>
      <x:c r="G20" s="24" t="str">
        <x:v>stable</x:v>
      </x:c>
      <x:c r="H20" s="28" t="n">
        <x:v>22.731556967182982</x:v>
      </x:c>
      <x:c r="I20" s="24" t="n">
        <x:v>7</x:v>
      </x:c>
      <x:c r="J20" s="24" t="n">
        <x:v>0</x:v>
      </x:c>
      <x:c r="K20" s="24" t="str">
        <x:v>Salida generada ejecutando engine_reference.py; detalle completo en test_vectors.json</x:v>
      </x:c>
    </x:row>
    <x:row r="21">
      <x:c r="A21" s="24" t="str">
        <x:v>T20</x:v>
      </x:c>
      <x:c r="B21" s="24" t="str">
        <x:v>Persistencia moderada en tres seguimientos</x:v>
      </x:c>
      <x:c r="C21" s="24" t="str">
        <x:v>ES</x:v>
      </x:c>
      <x:c r="D21" s="24" t="n">
        <x:v>69</x:v>
      </x:c>
      <x:c r="E21" s="24" t="str">
        <x:v>tipico</x:v>
      </x:c>
      <x:c r="F21" s="24" t="str">
        <x:v>scored</x:v>
      </x:c>
      <x:c r="G21" s="24" t="str">
        <x:v>discuss_with_clinician</x:v>
      </x:c>
      <x:c r="H21" s="28" t="n">
        <x:v>100</x:v>
      </x:c>
      <x:c r="I21" s="24" t="n">
        <x:v>9</x:v>
      </x:c>
      <x:c r="J21" s="24" t="n">
        <x:v>0</x:v>
      </x:c>
      <x:c r="K21" s="24" t="str">
        <x:v>Salida generada ejecutando engine_reference.py; detalle completo en test_vectors.json</x:v>
      </x:c>
    </x:row>
    <x:row r="22">
      <x:c r="A22" s="24" t="str">
        <x:v>T21</x:v>
      </x:c>
      <x:c r="B22" s="24" t="str">
        <x:v>Seis sesiones excluidas por calidad; baseline no suficiente</x:v>
      </x:c>
      <x:c r="C22" s="24" t="str">
        <x:v>US</x:v>
      </x:c>
      <x:c r="D22" s="24" t="n">
        <x:v>65</x:v>
      </x:c>
      <x:c r="E22" s="24" t="str">
        <x:v>robustez</x:v>
      </x:c>
      <x:c r="F22" s="24" t="str">
        <x:v>baseline_building</x:v>
      </x:c>
      <x:c r="G22" s="24" t="str">
        <x:v>baseline_building</x:v>
      </x:c>
      <x:c r="H22" s="24"/>
      <x:c r="I22" s="24" t="n">
        <x:v>1</x:v>
      </x:c>
      <x:c r="J22" s="24" t="n">
        <x:v>6</x:v>
      </x:c>
      <x:c r="K22" s="24" t="str">
        <x:v>QA Etapa 3: exclusiones por quality_pass</x:v>
      </x:c>
    </x:row>
    <x:row r="23">
      <x:c r="A23" s="24" t="str">
        <x:v>T22</x:v>
      </x:c>
      <x:c r="B23" s="24" t="str">
        <x:v>Error de unidad: segundos introducidos como ms</x:v>
      </x:c>
      <x:c r="C23" s="24" t="str">
        <x:v>US</x:v>
      </x:c>
      <x:c r="D23" s="24" t="n">
        <x:v>65</x:v>
      </x:c>
      <x:c r="E23" s="24" t="str">
        <x:v>robustez</x:v>
      </x:c>
      <x:c r="F23" s="24" t="str">
        <x:v>REJECTED</x:v>
      </x:c>
      <x:c r="G23" s="24" t="str">
        <x:v>REJECTED</x:v>
      </x:c>
      <x:c r="H23" s="24"/>
      <x:c r="I23" s="24"/>
      <x:c r="J23" s="24"/>
      <x:c r="K23" s="24" t="str">
        <x:v>QA Etapa 3: fuera de rango, debe lanzar ModelInputError</x:v>
      </x:c>
    </x:row>
    <x:row r="24">
      <x:c r="A24" s="24" t="str">
        <x:v>T23</x:v>
      </x:c>
      <x:c r="B24" s="24" t="str">
        <x:v>NaN rechazado</x:v>
      </x:c>
      <x:c r="C24" s="24" t="str">
        <x:v>US</x:v>
      </x:c>
      <x:c r="D24" s="24" t="n">
        <x:v>65</x:v>
      </x:c>
      <x:c r="E24" s="24" t="str">
        <x:v>robustez</x:v>
      </x:c>
      <x:c r="F24" s="24" t="str">
        <x:v>REJECTED</x:v>
      </x:c>
      <x:c r="G24" s="24" t="str">
        <x:v>REJECTED</x:v>
      </x:c>
      <x:c r="H24" s="24"/>
      <x:c r="I24" s="24"/>
      <x:c r="J24" s="24"/>
      <x:c r="K24" s="24" t="str">
        <x:v>QA Etapa 3: no finito materializado en runtime</x:v>
      </x:c>
    </x:row>
    <x:row r="25">
      <x:c r="A25" s="24" t="str">
        <x:v>T24</x:v>
      </x:c>
      <x:c r="B25" s="24" t="str">
        <x:v>Infinito rechazado</x:v>
      </x:c>
      <x:c r="C25" s="24" t="str">
        <x:v>US</x:v>
      </x:c>
      <x:c r="D25" s="24" t="n">
        <x:v>65</x:v>
      </x:c>
      <x:c r="E25" s="24" t="str">
        <x:v>robustez</x:v>
      </x:c>
      <x:c r="F25" s="24" t="str">
        <x:v>REJECTED</x:v>
      </x:c>
      <x:c r="G25" s="24" t="str">
        <x:v>REJECTED</x:v>
      </x:c>
      <x:c r="H25" s="24"/>
      <x:c r="I25" s="24"/>
      <x:c r="J25" s="24"/>
      <x:c r="K25" s="24" t="str">
        <x:v>QA Etapa 3: no finito materializado en runtime</x:v>
      </x:c>
    </x:row>
    <x:row r="26">
      <x:c r="A26" s="24" t="str">
        <x:v>T25</x:v>
      </x:c>
      <x:c r="B26" s="24" t="str">
        <x:v>Fechas duplicadas rechazadas</x:v>
      </x:c>
      <x:c r="C26" s="24" t="str">
        <x:v>US</x:v>
      </x:c>
      <x:c r="D26" s="24" t="n">
        <x:v>65</x:v>
      </x:c>
      <x:c r="E26" s="24" t="str">
        <x:v>robustez</x:v>
      </x:c>
      <x:c r="F26" s="24" t="str">
        <x:v>REJECTED</x:v>
      </x:c>
      <x:c r="G26" s="24" t="str">
        <x:v>REJECTED</x:v>
      </x:c>
      <x:c r="H26" s="24"/>
      <x:c r="I26" s="24"/>
      <x:c r="J26" s="24"/>
      <x:c r="K26" s="24" t="str">
        <x:v>QA Etapa 3: orden temporal estricto</x:v>
      </x:c>
    </x:row>
    <x:row r="27">
      <x:c r="A27" s="24" t="str">
        <x:v>T26</x:v>
      </x:c>
      <x:c r="B27" s="24" t="str">
        <x:v>Fecha calendario imposible rechazada</x:v>
      </x:c>
      <x:c r="C27" s="24" t="str">
        <x:v>US</x:v>
      </x:c>
      <x:c r="D27" s="24" t="n">
        <x:v>65</x:v>
      </x:c>
      <x:c r="E27" s="24" t="str">
        <x:v>robustez</x:v>
      </x:c>
      <x:c r="F27" s="24" t="str">
        <x:v>REJECTED</x:v>
      </x:c>
      <x:c r="G27" s="24" t="str">
        <x:v>REJECTED</x:v>
      </x:c>
      <x:c r="H27" s="24"/>
      <x:c r="I27" s="24"/>
      <x:c r="J27" s="24"/>
      <x:c r="K27" s="24" t="str">
        <x:v>QA Etapa 3: validación calendario real</x:v>
      </x:c>
    </x:row>
    <x:row r="28">
      <x:c r="A28" s="24" t="str">
        <x:v>T27</x:v>
      </x:c>
      <x:c r="B28" s="24" t="str">
        <x:v>Más de 104 sesiones rechazadas</x:v>
      </x:c>
      <x:c r="C28" s="24" t="str">
        <x:v>US</x:v>
      </x:c>
      <x:c r="D28" s="24" t="n">
        <x:v>65</x:v>
      </x:c>
      <x:c r="E28" s="24" t="str">
        <x:v>robustez</x:v>
      </x:c>
      <x:c r="F28" s="24" t="str">
        <x:v>REJECTED</x:v>
      </x:c>
      <x:c r="G28" s="24" t="str">
        <x:v>REJECTED</x:v>
      </x:c>
      <x:c r="H28" s="24"/>
      <x:c r="I28" s="24"/>
      <x:c r="J28" s="24"/>
      <x:c r="K28" s="24" t="str">
        <x:v>QA Etapa 3: maxItems=104</x:v>
      </x:c>
    </x:row>
    <x:row r="29">
      <x:c r="A29" s="24" t="str">
        <x:v>T28</x:v>
      </x:c>
      <x:c r="B29" s="24" t="str">
        <x:v>Campos extra de sesión rechazados</x:v>
      </x:c>
      <x:c r="C29" s="24" t="str">
        <x:v>US</x:v>
      </x:c>
      <x:c r="D29" s="24" t="n">
        <x:v>65</x:v>
      </x:c>
      <x:c r="E29" s="24" t="str">
        <x:v>robustez</x:v>
      </x:c>
      <x:c r="F29" s="24" t="str">
        <x:v>REJECTED</x:v>
      </x:c>
      <x:c r="G29" s="24" t="str">
        <x:v>REJECTED</x:v>
      </x:c>
      <x:c r="H29" s="24"/>
      <x:c r="I29" s="24"/>
      <x:c r="J29" s="24"/>
      <x:c r="K29" s="24" t="str">
        <x:v>QA Etapa 3: additionalProperties=false</x:v>
      </x:c>
    </x:row>
    <x:row r="30">
      <x:c r="A30" s="24" t="str">
        <x:v>T29</x:v>
      </x:c>
      <x:c r="B30" s="24" t="str">
        <x:v>Monotonicidad: deterioro moderado</x:v>
      </x:c>
      <x:c r="C30" s="24" t="str">
        <x:v>US</x:v>
      </x:c>
      <x:c r="D30" s="24" t="n">
        <x:v>65</x:v>
      </x:c>
      <x:c r="E30" s="24" t="str">
        <x:v>robustez</x:v>
      </x:c>
      <x:c r="F30" s="24" t="str">
        <x:v>scored</x:v>
      </x:c>
      <x:c r="G30" s="24" t="str">
        <x:v>stable</x:v>
      </x:c>
      <x:c r="H30" s="24" t="n">
        <x:v>17.16573332841695</x:v>
      </x:c>
      <x:c r="I30" s="24" t="n">
        <x:v>7</x:v>
      </x:c>
      <x:c r="J30" s="24" t="n">
        <x:v>0</x:v>
      </x:c>
      <x:c r="K30" s="24" t="str">
        <x:v>QA Etapa 3: referencia monotonicidad</x:v>
      </x:c>
    </x:row>
    <x:row r="31">
      <x:c r="A31" s="24" t="str">
        <x:v>T30</x:v>
      </x:c>
      <x:c r="B31" s="24" t="str">
        <x:v>Monotonicidad: deterioro mayor</x:v>
      </x:c>
      <x:c r="C31" s="24" t="str">
        <x:v>US</x:v>
      </x:c>
      <x:c r="D31" s="24" t="n">
        <x:v>65</x:v>
      </x:c>
      <x:c r="E31" s="24" t="str">
        <x:v>robustez</x:v>
      </x:c>
      <x:c r="F31" s="24" t="str">
        <x:v>scored</x:v>
      </x:c>
      <x:c r="G31" s="24" t="str">
        <x:v>stable</x:v>
      </x:c>
      <x:c r="H31" s="24" t="n">
        <x:v>49.12662034698138</x:v>
      </x:c>
      <x:c r="I31" s="24" t="n">
        <x:v>7</x:v>
      </x:c>
      <x:c r="J31" s="24" t="n">
        <x:v>0</x:v>
      </x:c>
      <x:c r="K31" s="24" t="str">
        <x:v>QA Etapa 3: señal &gt; T29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48" hidden="0" customWidth="1"/>
    <x:col min="3" max="3" width="65" hidden="0" customWidth="1"/>
    <x:col min="4" max="4" width="52" hidden="0" customWidth="1"/>
    <x:col min="5" max="5" width="14" hidden="0" customWidth="1"/>
    <x:col min="6" max="6" width="14" hidden="0" customWidth="1"/>
  </x:cols>
  <x:sheetData>
    <x:row r="1" ht="24" customHeight="1">
      <x:c r="A1" s="12" t="str">
        <x:v>id</x:v>
      </x:c>
      <x:c r="B1" s="12" t="str">
        <x:v>dato</x:v>
      </x:c>
      <x:c r="C1" s="12" t="str">
        <x:v>url</x:v>
      </x:c>
      <x:c r="D1" s="12" t="str">
        <x:v>licencia</x:v>
      </x:c>
      <x:c r="E1" s="12" t="str">
        <x:v>fecha</x:v>
      </x:c>
      <x:c r="F1" s="12" t="str">
        <x:v>estado</x:v>
      </x:c>
    </x:row>
    <x:row r="2">
      <x:c r="A2" s="24" t="str">
        <x:v>F01</x:v>
      </x:c>
      <x:c r="B2" s="24" t="str">
        <x:v>Parámetros EWMA (λ habitual 0,2–0,3; límites k=2 o 3)</x:v>
      </x:c>
      <x:c r="C2" s="24" t="str">
        <x:v>https://www.itl.nist.gov/div898/handbook/mpc/section2/mpc2211.htm</x:v>
      </x:c>
      <x:c r="D2" s="24" t="str">
        <x:v>Información pública NIST; reutilización conforme a política NIST</x:v>
      </x:c>
      <x:c r="E2" s="24" t="str">
        <x:v>2026-10-13</x:v>
      </x:c>
      <x:c r="F2" s="24" t="str">
        <x:v>verificado</x:v>
      </x:c>
    </x:row>
    <x:row r="3">
      <x:c r="A3" s="24" t="str">
        <x:v>F02</x:v>
      </x:c>
      <x:c r="B3" s="24" t="str">
        <x:v>Política de reutilización/copyright de NIST</x:v>
      </x:c>
      <x:c r="C3" s="24" t="str">
        <x:v>https://www.nist.gov/copyrights-disclaimers</x:v>
      </x:c>
      <x:c r="D3" s="24" t="str">
        <x:v>Información pública del Gobierno de EE. UU. salvo indicación específica</x:v>
      </x:c>
      <x:c r="E3" s="24" t="str">
        <x:v>2026-10-13</x:v>
      </x:c>
      <x:c r="F3" s="24" t="str">
        <x:v>verificado</x:v>
      </x:c>
    </x:row>
    <x:row r="4">
      <x:c r="A4" s="24" t="str">
        <x:v>F03</x:v>
      </x:c>
      <x:c r="B4" s="24" t="str">
        <x:v>Fórmula Reliable Change Index y umbral |RCI|&gt;1,96</x:v>
      </x:c>
      <x:c r="C4" s="24" t="str">
        <x:v>https://pmc.ncbi.nlm.nih.gov/articles/PMC8581253/</x:v>
      </x:c>
      <x:c r="D4" s="24" t="str">
        <x:v>Referencia metodológica de acceso público; no se redistribuye contenido</x:v>
      </x:c>
      <x:c r="E4" s="24" t="str">
        <x:v>2026-10-13</x:v>
      </x:c>
      <x:c r="F4" s="24" t="str">
        <x:v>verificado</x:v>
      </x:c>
    </x:row>
    <x:row r="5">
      <x:c r="A5" s="24" t="str">
        <x:v>F04</x:v>
      </x:c>
      <x:c r="B5" s="24" t="str">
        <x:v>Corrección loglineal d′: +0,5 a hits/FA y +1 a totales</x:v>
      </x:c>
      <x:c r="C5" s="24" t="str">
        <x:v>https://pmc.ncbi.nlm.nih.gov/articles/PMC3434682/</x:v>
      </x:c>
      <x:c r="D5" s="24" t="str">
        <x:v>Referencia metodológica de acceso público; no se redistribuye contenido</x:v>
      </x:c>
      <x:c r="E5" s="24" t="str">
        <x:v>2026-10-13</x:v>
      </x:c>
      <x:c r="F5" s="24" t="str">
        <x:v>verificado</x:v>
      </x:c>
    </x:row>
    <x:row r="6">
      <x:c r="A6" s="24" t="str">
        <x:v>F05</x:v>
      </x:c>
      <x:c r="B6" s="24" t="str">
        <x:v>Inverse Efficiency Score: RT correcto medio / proporción correcta</x:v>
      </x:c>
      <x:c r="C6" s="24" t="str">
        <x:v>https://pmc.ncbi.nlm.nih.gov/articles/PMC11493209/</x:v>
      </x:c>
      <x:c r="D6" s="24" t="str">
        <x:v>Referencia metodológica de acceso público; no se redistribuye contenido</x:v>
      </x:c>
      <x:c r="E6" s="24" t="str">
        <x:v>2026-10-13</x:v>
      </x:c>
      <x:c r="F6" s="24" t="str">
        <x:v>verificado</x:v>
      </x:c>
    </x:row>
    <x:row r="7">
      <x:c r="A7" s="24" t="str">
        <x:v>F06</x:v>
      </x:c>
      <x:c r="B7" s="24" t="str">
        <x:v>Revisión de evaluación cognitiva remota en adultos mayores</x:v>
      </x:c>
      <x:c r="C7" s="24" t="str">
        <x:v>https://pmc.ncbi.nlm.nih.gov/articles/PMC10487375/</x:v>
      </x:c>
      <x:c r="D7" s="24" t="str">
        <x:v>Referencia bibliográfica; no se redistribuyen instrumentos/datos</x:v>
      </x:c>
      <x:c r="E7" s="24" t="str">
        <x:v>2026-10-13</x:v>
      </x:c>
      <x:c r="F7" s="24" t="str">
        <x:v>verificado</x:v>
      </x:c>
    </x:row>
    <x:row r="8">
      <x:c r="A8" s="24" t="str">
        <x:v>F07</x:v>
      </x:c>
      <x:c r="B8" s="24" t="str">
        <x:v>Brain on Track: evidencia benchmark de evaluación cognitiva web</x:v>
      </x:c>
      <x:c r="C8" s="24" t="str">
        <x:v>https://pmc.ncbi.nlm.nih.gov/articles/PMC4705487/</x:v>
      </x:c>
      <x:c r="D8" s="24" t="str">
        <x:v>Referencia bibliográfica; no se redistribuyen instrumentos/datos</x:v>
      </x:c>
      <x:c r="E8" s="24" t="str">
        <x:v>2026-10-13</x:v>
      </x:c>
      <x:c r="F8" s="24" t="str">
        <x:v>verificado</x:v>
      </x:c>
    </x:row>
    <x:row r="9">
      <x:c r="A9" s="24" t="str">
        <x:v>F08</x:v>
      </x:c>
      <x:c r="B9" s="24" t="str">
        <x:v>OCTAL: benchmark de prueba digital breve; licencia comercial separada</x:v>
      </x:c>
      <x:c r="C9" s="24" t="str">
        <x:v>https://pmc.ncbi.nlm.nih.gov/articles/PMC12909784/</x:v>
      </x:c>
      <x:c r="D9" s="24" t="str">
        <x:v>Artículo de acceso público; plataforma no incorporada al producto</x:v>
      </x:c>
      <x:c r="E9" s="24" t="str">
        <x:v>2026-10-13</x:v>
      </x:c>
      <x:c r="F9" s="24" t="str">
        <x:v>verificado</x:v>
      </x:c>
    </x:row>
    <x:row r="10">
      <x:c r="A10" s="24" t="str">
        <x:v>F09</x:v>
      </x:c>
      <x:c r="B10" s="24" t="str">
        <x:v>OCTAL portal: licencia académica y contacto para uso comercial</x:v>
      </x:c>
      <x:c r="C10" s="24" t="str">
        <x:v>https://octalportal.com/about/</x:v>
      </x:c>
      <x:c r="D10" s="24" t="str">
        <x:v>No apta como dependencia comercial sin acuerdo; candidato descartado</x:v>
      </x:c>
      <x:c r="E10" s="24" t="str">
        <x:v>2026-10-13</x:v>
      </x:c>
      <x:c r="F10" s="24" t="str">
        <x:v>verificado</x:v>
      </x:c>
    </x:row>
    <x:row r="11">
      <x:c r="A11" s="24" t="str">
        <x:v>F10</x:v>
      </x:c>
      <x:c r="B11" s="24" t="str">
        <x:v>jsPsych, framework web para tareas conductuales</x:v>
      </x:c>
      <x:c r="C11" s="24" t="str">
        <x:v>https://github.com/jspsych/jsPsych</x:v>
      </x:c>
      <x:c r="D11" s="24" t="str">
        <x:v>MIT</x:v>
      </x:c>
      <x:c r="E11" s="24" t="str">
        <x:v>2026-10-13</x:v>
      </x:c>
      <x:c r="F11" s="24" t="str">
        <x:v>verificado</x:v>
      </x:c>
    </x:row>
    <x:row r="12">
      <x:c r="A12" s="24" t="str">
        <x:v>F11</x:v>
      </x:c>
      <x:c r="B12" s="24" t="str">
        <x:v>statsmodels, candidato de modelos mixtos</x:v>
      </x:c>
      <x:c r="C12" s="24" t="str">
        <x:v>https://www.statsmodels.org/</x:v>
      </x:c>
      <x:c r="D12" s="24" t="str">
        <x:v>BSD-3-Clause</x:v>
      </x:c>
      <x:c r="E12" s="24" t="str">
        <x:v>2026-10-13</x:v>
      </x:c>
      <x:c r="F12" s="24" t="str">
        <x:v>verificado</x:v>
      </x:c>
    </x:row>
    <x:row r="13">
      <x:c r="A13" s="24" t="str">
        <x:v>F12</x:v>
      </x:c>
      <x:c r="B13" s="24" t="str">
        <x:v>XGBoost, candidato ML futuro</x:v>
      </x:c>
      <x:c r="C13" s="24" t="str">
        <x:v>https://github.com/dmlc/xgboost</x:v>
      </x:c>
      <x:c r="D13" s="24" t="str">
        <x:v>Apache-2.0</x:v>
      </x:c>
      <x:c r="E13" s="24" t="str">
        <x:v>2026-10-13</x:v>
      </x:c>
      <x:c r="F13" s="24" t="str">
        <x:v>verificado</x:v>
      </x:c>
    </x:row>
    <x:row r="14">
      <x:c r="A14" s="24" t="str">
        <x:v>F13</x:v>
      </x:c>
      <x:c r="B14" s="24" t="str">
        <x:v>TestMyBrain, código de referencia y estímulos</x:v>
      </x:c>
      <x:c r="C14" s="24" t="str">
        <x:v>https://github.com/manybrainsproject/TestMyBrainCodeRepo</x:v>
      </x:c>
      <x:c r="D14" s="24" t="str">
        <x:v>LGPL-3.0 para código; CC-BY-SA-4.0 para estímulos; no incorporado en v1</x:v>
      </x:c>
      <x:c r="E14" s="24" t="str">
        <x:v>2026-10-13</x:v>
      </x:c>
      <x:c r="F14" s="24" t="str">
        <x:v>verificado</x:v>
      </x:c>
    </x:row>
    <x:row r="15">
      <x:c r="A15" s="24" t="str">
        <x:v>F14</x:v>
      </x:c>
      <x:c r="B15" s="24" t="str">
        <x:v>ADNI Terms of Use: restricciones no comerciales del sitio/materiales</x:v>
      </x:c>
      <x:c r="C15" s="24" t="str">
        <x:v>https://adni.loni.usc.edu/terms-of-use/</x:v>
      </x:c>
      <x:c r="D15" s="24" t="str">
        <x:v>No apta como fuente redistribuible/comercial sin permiso; candidato descartado</x:v>
      </x:c>
      <x:c r="E15" s="24" t="str">
        <x:v>2026-10-13</x:v>
      </x:c>
      <x:c r="F15" s="24" t="str">
        <x:v>verificado</x:v>
      </x:c>
    </x:row>
    <x:row r="16">
      <x:c r="A16" s="24" t="str">
        <x:v>F15</x:v>
      </x:c>
      <x:c r="B16" s="24" t="str">
        <x:v>World Bank PA.NUS.PPP (PPP conversion factor GDP), 2025</x:v>
      </x:c>
      <x:c r="C16" s="24" t="str">
        <x:v>https://data.worldbank.org/indicator/PA.NUS.PPP</x:v>
      </x:c>
      <x:c r="D16" s="24" t="str">
        <x:v>CC BY-4.0</x:v>
      </x:c>
      <x:c r="E16" s="24" t="str">
        <x:v>2026-10-13</x:v>
      </x:c>
      <x:c r="F16" s="24" t="str">
        <x:v>verificado</x:v>
      </x:c>
    </x:row>
    <x:row r="17">
      <x:c r="A17" s="24" t="str">
        <x:v>F16</x:v>
      </x:c>
      <x:c r="B17" s="24" t="str">
        <x:v>Stripe US pricing: 2,9% + US$0,30 para tarjetas domésticas estándar</x:v>
      </x:c>
      <x:c r="C17" s="24" t="str">
        <x:v>https://stripe.com/pricing</x:v>
      </x:c>
      <x:c r="D17" s="24" t="str">
        <x:v>Página pública de precios; dato factual no redistribuido como base propietaria</x:v>
      </x:c>
      <x:c r="E17" s="24" t="str">
        <x:v>2026-10-13</x:v>
      </x:c>
      <x:c r="F17" s="24" t="str">
        <x:v>verificado</x:v>
      </x:c>
    </x:row>
    <x:row r="18">
      <x:c r="A18" s="24" t="str">
        <x:v>F17</x:v>
      </x:c>
      <x:c r="B18" s="24" t="str">
        <x:v>Stripe UK pricing: 1,5% + £0,20 tarjetas UK estándar</x:v>
      </x:c>
      <x:c r="C18" s="24" t="str">
        <x:v>https://stripe.com/gb/pricing</x:v>
      </x:c>
      <x:c r="D18" s="24" t="str">
        <x:v>Página pública de precios; dato factual</x:v>
      </x:c>
      <x:c r="E18" s="24" t="str">
        <x:v>2026-10-13</x:v>
      </x:c>
      <x:c r="F18" s="24" t="str">
        <x:v>verificado</x:v>
      </x:c>
    </x:row>
    <x:row r="19">
      <x:c r="A19" s="24" t="str">
        <x:v>F18</x:v>
      </x:c>
      <x:c r="B19" s="24" t="str">
        <x:v>Stripe ES pricing: 1,5% + €0,25 tarjetas EEA estándar</x:v>
      </x:c>
      <x:c r="C19" s="24" t="str">
        <x:v>https://stripe.com/es/pricing</x:v>
      </x:c>
      <x:c r="D19" s="24" t="str">
        <x:v>Página pública de precios; dato factual</x:v>
      </x:c>
      <x:c r="E19" s="24" t="str">
        <x:v>2026-10-13</x:v>
      </x:c>
      <x:c r="F19" s="24" t="str">
        <x:v>verificado</x:v>
      </x:c>
    </x:row>
    <x:row r="20">
      <x:c r="A20" s="24" t="str">
        <x:v>F19</x:v>
      </x:c>
      <x:c r="B20" s="24" t="str">
        <x:v>Stripe BR pricing: 3,99% + R$0,39 tarjetas domésticas</x:v>
      </x:c>
      <x:c r="C20" s="24" t="str">
        <x:v>https://stripe.com/br/pricing</x:v>
      </x:c>
      <x:c r="D20" s="24" t="str">
        <x:v>Página pública de precios; dato factual</x:v>
      </x:c>
      <x:c r="E20" s="24" t="str">
        <x:v>2026-10-13</x:v>
      </x:c>
      <x:c r="F20" s="24" t="str">
        <x:v>verificado</x:v>
      </x:c>
    </x:row>
    <x:row r="21">
      <x:c r="A21" s="24" t="str">
        <x:v>F20</x:v>
      </x:c>
      <x:c r="B21" s="24" t="str">
        <x:v>Stripe MX pricing: 3,6% + MXN$3 tarjetas domésticas</x:v>
      </x:c>
      <x:c r="C21" s="24" t="str">
        <x:v>https://stripe.com/mx/pricing</x:v>
      </x:c>
      <x:c r="D21" s="24" t="str">
        <x:v>Página pública de precios; dato factual</x:v>
      </x:c>
      <x:c r="E21" s="24" t="str">
        <x:v>2026-10-13</x:v>
      </x:c>
      <x:c r="F21" s="24" t="str">
        <x:v>verificado</x:v>
      </x:c>
    </x:row>
  </x:sheetData>
  <x:conditionalFormatting sqref="F2:F21">
    <x:cfRule type="expression" dxfId="4" priority="1">
      <x:formula>F2="verificado"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38" hidden="0" customWidth="1"/>
    <x:col min="5" max="5" width="16" hidden="0" customWidth="1"/>
  </x:cols>
  <x:sheetData>
    <x:row r="1" ht="24" customHeight="1">
      <x:c r="A1" s="12" t="str">
        <x:v>version</x:v>
      </x:c>
      <x:c r="B1" s="12" t="str">
        <x:v>fecha</x:v>
      </x:c>
      <x:c r="C1" s="12" t="str">
        <x:v>cambio</x:v>
      </x:c>
      <x:c r="D1" s="12" t="str">
        <x:v>motivo</x:v>
      </x:c>
      <x:c r="E1" s="12" t="str">
        <x:v>autor</x:v>
      </x:c>
    </x:row>
    <x:row r="2">
      <x:c r="A2" s="24" t="str">
        <x:v>2.0</x:v>
      </x:c>
      <x:c r="B2" s="24" t="str">
        <x:v>2026-10-13</x:v>
      </x:c>
      <x:c r="C2" s="24" t="str">
        <x:v>Se añade CS-LCM v1.0, base personal + EWMA, parámetros, países, evidencia y 20 casos de prueba.</x:v>
      </x:c>
      <x:c r="D2" s="24" t="str">
        <x:v>Convertir el PIVOT de etapa 1 en un motor reproducible y auditable.</x:v>
      </x:c>
      <x:c r="E2" s="24" t="str">
        <x:v>Agente 2</x:v>
      </x:c>
    </x:row>
    <x:row r="3">
      <x:c r="A3" s="24" t="str">
        <x:v>2.0</x:v>
      </x:c>
      <x:c r="B3" s="24" t="str">
        <x:v>2026-10-13</x:v>
      </x:c>
      <x:c r="C3" s="24" t="str">
        <x:v>Se elimina del alcance v1 cualquier probabilidad de Alzheimer/MCI/demencia a 6–12 meses.</x:v>
      </x:c>
      <x:c r="D3" s="24" t="str">
        <x:v>No existe dataset comercialmente compatible y validación clínica suficiente para calibrarla sin inventar certeza.</x:v>
      </x:c>
      <x:c r="E3" s="24" t="str">
        <x:v>Agente 2</x:v>
      </x:c>
    </x:row>
    <x:row r="4">
      <x:c r="A4" s="24" t="str">
        <x:v>2.0</x:v>
      </x:c>
      <x:c r="B4" s="24" t="str">
        <x:v>2026-10-13</x:v>
      </x:c>
      <x:c r="C4" s="24" t="str">
        <x:v>Se fijan país/idioma/educación como metadata no puntuable.</x:v>
      </x:c>
      <x:c r="D4" s="24" t="str">
        <x:v>Evitar sesgos normativos sin evidencia por país/segmento.</x:v>
      </x:c>
      <x:c r="E4" s="24" t="str">
        <x:v>Agente 2</x:v>
      </x:c>
    </x:row>
    <x:row r="5">
      <x:c r="A5" s="24" t="str">
        <x:v>2.0</x:v>
      </x:c>
      <x:c r="B5" s="24" t="str">
        <x:v>2026-10-13</x:v>
      </x:c>
      <x:c r="C5" s="24" t="str">
        <x:v>PPP 2025 y tarifas Stripe añadidas para soporte de monetización.</x:v>
      </x:c>
      <x:c r="D5" s="24" t="str">
        <x:v>Precios localizados y cálculo transparente de margen antes de infraestructura.</x:v>
      </x:c>
      <x:c r="E5" s="24" t="str">
        <x:v>Agente 2</x:v>
      </x:c>
    </x:row>
    <x:row r="6">
      <x:c r="A6" s="24" t="str">
        <x:v>3.0</x:v>
      </x:c>
      <x:c r="B6" s="24" t="str">
        <x:v>2026-10-13</x:v>
      </x:c>
      <x:c r="C6" s="24" t="str">
        <x:v>Se añaden 10 pruebas de robustez T21-T30 y se endurece la validación del motor.</x:v>
      </x:c>
      <x:c r="D6" s="24" t="str">
        <x:v>Defensa en profundidad: fechas de calendario reales, maxItems=104 y rechazo de campos extra.</x:v>
      </x:c>
      <x:c r="E6" s="24" t="str">
        <x:v>Agente 3</x:v>
      </x:c>
    </x:row>
    <x:row r="7">
      <x:c r="A7" s="24" t="str">
        <x:v>3.0</x:v>
      </x:c>
      <x:c r="B7" s="24" t="str">
        <x:v>2026-10-13</x:v>
      </x:c>
      <x:c r="C7" s="24" t="str">
        <x:v>Brief machine-readable alineado con CS-LCM v1.0 observacional.</x:v>
      </x:c>
      <x:c r="D7" s="24" t="str">
        <x:v>Eliminar incoherencia residual de probabilidad/horizonte predictivo clínico heredada de etapa 1.</x:v>
      </x:c>
      <x:c r="E7" s="24" t="str">
        <x:v>Agente 3</x:v>
      </x:c>
    </x:row>
  </x:sheetData>
  <x:pageMargins left="0.7" right="0.7" top="0.75" bottom="0.75" header="0.3" footer="0.3"/>
</x:worksheet>
</file>